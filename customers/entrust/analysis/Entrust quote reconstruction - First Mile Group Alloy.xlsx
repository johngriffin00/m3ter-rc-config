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oy quote" sheetId="1" state="visible" r:id="rId3"/>
    <sheet name="January 2026 bill" sheetId="2" state="visible" r:id="rId4"/>
    <sheet name="Rate card D USD" sheetId="3" state="visible" r:id="rId5"/>
    <sheet name="Data Sources" sheetId="4" state="visible" r:id="rId6"/>
  </sheets>
  <definedNames>
    <definedName function="false" hidden="true" localSheetId="1" name="_xlnm._FilterDatabase" vbProcedure="false">'January 2026 bill'!$A$27:$S$54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<sst xmlns="http://schemas.openxmlformats.org/spreadsheetml/2006/main" count="606" uniqueCount="285">
  <si>
    <t xml:space="preserve">First Mile Group, Inc. d/b/a Alloy: auto-renewal quote, May 2025</t>
  </si>
  <si>
    <t xml:space="preserve">Reconstructed from m3ter. Blue: values held in m3ter. Black: formulas. Green: formulas reading another tab. Yellow: illustrative, not held in m3ter.</t>
  </si>
  <si>
    <t xml:space="preserve">Source: m3ter data in local Postgres (customerdb, schema entrust), queried by Claude on 7 Oct 2026. The queries are on the Data Sources tab.</t>
  </si>
  <si>
    <t xml:space="preserve">Customer</t>
  </si>
  <si>
    <t xml:space="preserve">First Mile Group, Inc. d/b/a Alloy</t>
  </si>
  <si>
    <t xml:space="preserve">m3ter account code</t>
  </si>
  <si>
    <t xml:space="preserve">00124000018txRVAAY</t>
  </si>
  <si>
    <t xml:space="preserve">Salesforce opportunity</t>
  </si>
  <si>
    <t xml:space="preserve">006So00000N2H7ZIAV</t>
  </si>
  <si>
    <t xml:space="preserve">Supersedes opportunity</t>
  </si>
  <si>
    <t xml:space="preserve">006So00000CNv9xIAD</t>
  </si>
  <si>
    <t xml:space="preserve">Quote type</t>
  </si>
  <si>
    <t xml:space="preserve">Auto-renewal</t>
  </si>
  <si>
    <t xml:space="preserve">Term start</t>
  </si>
  <si>
    <t xml:space="preserve">Term end</t>
  </si>
  <si>
    <t xml:space="preserve">Term (months)</t>
  </si>
  <si>
    <t xml:space="preserve">Currency</t>
  </si>
  <si>
    <t xml:space="preserve">USD</t>
  </si>
  <si>
    <t xml:space="preserve">Rate card</t>
  </si>
  <si>
    <t xml:space="preserve">Rate Card D USD Default Pricing</t>
  </si>
  <si>
    <t xml:space="preserve">Bill frequency</t>
  </si>
  <si>
    <t xml:space="preserve">Monthly</t>
  </si>
  <si>
    <t xml:space="preserve">Minimum prepayment (USD)</t>
  </si>
  <si>
    <t xml:space="preserve">CSM fee commitment (USD)</t>
  </si>
  <si>
    <t xml:space="preserve">Quote total (USD)</t>
  </si>
  <si>
    <t xml:space="preserve">Price schedule</t>
  </si>
  <si>
    <t xml:space="preserve">Line</t>
  </si>
  <si>
    <t xml:space="preserve">Accounting product (m3ter)</t>
  </si>
  <si>
    <t xml:space="preserve">Product</t>
  </si>
  <si>
    <t xml:space="preserve">m3ter meter</t>
  </si>
  <si>
    <t xml:space="preserve">Country</t>
  </si>
  <si>
    <t xml:space="preserve">Price held on</t>
  </si>
  <si>
    <t xml:space="preserve">Rate card price (USD)</t>
  </si>
  <si>
    <t xml:space="preserve">Discount</t>
  </si>
  <si>
    <t xml:space="preserve">Net price (USD)</t>
  </si>
  <si>
    <t xml:space="preserve">Jan 2026 volume (checks)</t>
  </si>
  <si>
    <t xml:space="preserve">Jan 2026 value (USD)</t>
  </si>
  <si>
    <t xml:space="preserve">Illustrative annual volume (checks)</t>
  </si>
  <si>
    <t xml:space="preserve">Illustrative annual value (USD)</t>
  </si>
  <si>
    <t xml:space="preserve">A-01</t>
  </si>
  <si>
    <t xml:space="preserve">CPQ_ID_1235</t>
  </si>
  <si>
    <t xml:space="preserve">Document Check - USA</t>
  </si>
  <si>
    <t xml:space="preserve">document_report_standard_hybrid</t>
  </si>
  <si>
    <t xml:space="preserve">USA</t>
  </si>
  <si>
    <t xml:space="preserve">Plan</t>
  </si>
  <si>
    <t xml:space="preserve">A-02</t>
  </si>
  <si>
    <t xml:space="preserve">CPQ_ID_1236</t>
  </si>
  <si>
    <t xml:space="preserve">Document Check - ANY</t>
  </si>
  <si>
    <t xml:space="preserve">ANY (all other)</t>
  </si>
  <si>
    <t xml:space="preserve">A-03</t>
  </si>
  <si>
    <t xml:space="preserve">document_report_standard_auto</t>
  </si>
  <si>
    <t xml:space="preserve">Document Check - Flash</t>
  </si>
  <si>
    <t xml:space="preserve">All</t>
  </si>
  <si>
    <t xml:space="preserve">A-04</t>
  </si>
  <si>
    <t xml:space="preserve">document_report_standard_manual</t>
  </si>
  <si>
    <t xml:space="preserve">Document Check - Sherlock</t>
  </si>
  <si>
    <t xml:space="preserve">A-05</t>
  </si>
  <si>
    <t xml:space="preserve">facial_similarity_report_standard</t>
  </si>
  <si>
    <t xml:space="preserve">Facial Similarity Check - Selfie Hybrid</t>
  </si>
  <si>
    <t xml:space="preserve">A-06</t>
  </si>
  <si>
    <t xml:space="preserve">facial_similarity_report_photo_fully_auto</t>
  </si>
  <si>
    <t xml:space="preserve">Facial Similarity Check - Selfie Auto</t>
  </si>
  <si>
    <t xml:space="preserve">A-07</t>
  </si>
  <si>
    <t xml:space="preserve">facial_similarity_report_motion</t>
  </si>
  <si>
    <t xml:space="preserve">Motion PLG</t>
  </si>
  <si>
    <t xml:space="preserve">A-08</t>
  </si>
  <si>
    <t xml:space="preserve">proof_of_address_report_standard</t>
  </si>
  <si>
    <t xml:space="preserve">Proof of Address</t>
  </si>
  <si>
    <t xml:space="preserve">A-09</t>
  </si>
  <si>
    <t xml:space="preserve">known_faces_report_standard</t>
  </si>
  <si>
    <t xml:space="preserve">Facial Similarity Check Upgrade - Known Faces</t>
  </si>
  <si>
    <t xml:space="preserve">A-10</t>
  </si>
  <si>
    <t xml:space="preserve">repeat_attempts_report_standard</t>
  </si>
  <si>
    <t xml:space="preserve">Repeat Attempts</t>
  </si>
  <si>
    <t xml:space="preserve">A-11</t>
  </si>
  <si>
    <t xml:space="preserve">applicant_fraud_report_standard</t>
  </si>
  <si>
    <t xml:space="preserve">Device Intelligence - Standard</t>
  </si>
  <si>
    <t xml:space="preserve">A-12</t>
  </si>
  <si>
    <t xml:space="preserve">autofill</t>
  </si>
  <si>
    <t xml:space="preserve">OCR Autofill</t>
  </si>
  <si>
    <t xml:space="preserve">Total</t>
  </si>
  <si>
    <t xml:space="preserve">Illustrative annual value less minimum prepayment (USD)</t>
  </si>
  <si>
    <t xml:space="preserve">January 2026 usage value times 12 (USD)</t>
  </si>
  <si>
    <t xml:space="preserve">Minimum prepayment as months of January 2026 usage</t>
  </si>
  <si>
    <t xml:space="preserve">Notes</t>
  </si>
  <si>
    <t xml:space="preserve">Price held on: Plan means the price is set on this customer's m3ter plan. Rate card means the plan has no price for the item, so m3ter bills it at the Rate Card D USD price.</t>
  </si>
  <si>
    <t xml:space="preserve">Rate card lines are on the quote because they had usage in January 2026. Every other rate card item bills at its rate card price in the same way (see the Rate card D USD tab).</t>
  </si>
  <si>
    <t xml:space="preserve">Document Check - Boost is the only product priced by country: USA, and ANY for every other country. Each is a segment price on the country field of an aggregation created for this opportunity over the Boost meter.</t>
  </si>
  <si>
    <t xml:space="preserve">Document Check - Flash and Document Check - Sherlock have no negotiated price. They bill at the rate card price, so the discount is zero.</t>
  </si>
  <si>
    <t xml:space="preserve">Known Faces (A-09) is 0.00 on the rate card but 0.12 on the plan, so the plan price is higher than the rate card. It had no usage in January 2026.</t>
  </si>
  <si>
    <t xml:space="preserve">Facial Similarity Check - Selfie Auto (A-06) has a plan price but no usage in January 2026.</t>
  </si>
  <si>
    <t xml:space="preserve">Lines priced at 0.00 are included at no charge.</t>
  </si>
  <si>
    <t xml:space="preserve">m3ter holds CPQ SKU ids for the two country lines only (CPQ_ID_1235, CPQ_ID_1236). The other lines use the m3ter product code.</t>
  </si>
  <si>
    <t xml:space="preserve">Minimum prepayment is the contract's usage ACV (customFields_nsUsageACV). This is inferred: m3ter's prepayment balance for this contract already stands at 0.00, and the November 2025 to January 2026 bills have no drawdown, so those months were billed in full.</t>
  </si>
  <si>
    <t xml:space="preserve">CSM fee commitment is customFields_CSMFeeCommitment on the contract. Empty is shown as 0.</t>
  </si>
  <si>
    <t xml:space="preserve">Illustrative annual volume splits the minimum prepayment across lines in proportion to January 2026 billed value, then divides by net price. The volumes actually quoted are not held in m3ter.</t>
  </si>
  <si>
    <t xml:space="preserve">The prepayment is small next to actual usage (about 1.1 months of it), so the illustrative annual volumes are close to one month of real volume.</t>
  </si>
  <si>
    <t xml:space="preserve">Lines with no January 2026 usage get no illustrative volume.</t>
  </si>
  <si>
    <t xml:space="preserve">January 2026 bill recomputed from quote prices</t>
  </si>
  <si>
    <t xml:space="preserve">All 27 line items on the m3ter bill, in bill order, with billed quantities priced at the net prices on the quote tab. Blue: values held in m3ter. Black: formulas. Green: formulas reading another tab.</t>
  </si>
  <si>
    <t xml:space="preserve">Source: m3ter data in local Postgres (customerdb, schema entrust), queried by Claude on 7 Oct 2026. The queries are on the Data Sources tab. The bill total is the sum of the line items, because the billTotal column in customerdb is rounded to whole dollars.</t>
  </si>
  <si>
    <t xml:space="preserve">Bill summary</t>
  </si>
  <si>
    <t xml:space="preserve">Line type summed</t>
  </si>
  <si>
    <t xml:space="preserve">m3ter bill id</t>
  </si>
  <si>
    <t xml:space="preserve">06c06bb9-0775-4d57-b2a0-3a2b7129ea3b</t>
  </si>
  <si>
    <t xml:space="preserve">Bill period</t>
  </si>
  <si>
    <t xml:space="preserve">1 Jan 2026 to 1 Feb 2026</t>
  </si>
  <si>
    <t xml:space="preserve">Status</t>
  </si>
  <si>
    <t xml:space="preserve">APPROVED</t>
  </si>
  <si>
    <t xml:space="preserve">Bill date</t>
  </si>
  <si>
    <t xml:space="preserve">Due date</t>
  </si>
  <si>
    <t xml:space="preserve">Last calculated</t>
  </si>
  <si>
    <t xml:space="preserve">Line items</t>
  </si>
  <si>
    <t xml:space="preserve">Lines with usage</t>
  </si>
  <si>
    <t xml:space="preserve">Lines with a charge</t>
  </si>
  <si>
    <t xml:space="preserve">Lines priced on the plan</t>
  </si>
  <si>
    <t xml:space="preserve">Lines priced on the rate card</t>
  </si>
  <si>
    <t xml:space="preserve">Usage at quote prices (USD)</t>
  </si>
  <si>
    <t xml:space="preserve">USAGE</t>
  </si>
  <si>
    <t xml:space="preserve">Billed usage (USD)</t>
  </si>
  <si>
    <t xml:space="preserve">Prepayment drawn down (USD)</t>
  </si>
  <si>
    <t xml:space="preserve">BALANCE_CONSUMED</t>
  </si>
  <si>
    <t xml:space="preserve">Bill total recomputed (USD)</t>
  </si>
  <si>
    <t xml:space="preserve">Bill total from line items (USD)</t>
  </si>
  <si>
    <t xml:space="preserve">Difference (USD)</t>
  </si>
  <si>
    <t xml:space="preserve">billTotal in customerdb (whole USD)</t>
  </si>
  <si>
    <t xml:space="preserve">Recomputed total rounded, less billTotal (USD)</t>
  </si>
  <si>
    <t xml:space="preserve">Bill lines</t>
  </si>
  <si>
    <t xml:space="preserve">Line type</t>
  </si>
  <si>
    <t xml:space="preserve">Accounting product</t>
  </si>
  <si>
    <t xml:space="preserve">Accounting product name</t>
  </si>
  <si>
    <t xml:space="preserve">Line description on bill</t>
  </si>
  <si>
    <t xml:space="preserve">m3ter aggregation</t>
  </si>
  <si>
    <t xml:space="preserve">Country segment</t>
  </si>
  <si>
    <t xml:space="preserve">Service period start</t>
  </si>
  <si>
    <t xml:space="preserve">Service period end</t>
  </si>
  <si>
    <t xml:space="preserve">Quantity</t>
  </si>
  <si>
    <t xml:space="preserve">Billed unit price (USD)</t>
  </si>
  <si>
    <t xml:space="preserve">Billed subtotal (USD)</t>
  </si>
  <si>
    <t xml:space="preserve">Quote line</t>
  </si>
  <si>
    <t xml:space="preserve">Quote net price (USD)</t>
  </si>
  <si>
    <t xml:space="preserve">Recomputed subtotal (USD)</t>
  </si>
  <si>
    <t xml:space="preserve">Note</t>
  </si>
  <si>
    <t xml:space="preserve">eid_spid_full</t>
  </si>
  <si>
    <t xml:space="preserve">eID, Italy - SPID Full</t>
  </si>
  <si>
    <t xml:space="preserve">eid_spid_full_count</t>
  </si>
  <si>
    <t xml:space="preserve">Rate card item, no usage in January</t>
  </si>
  <si>
    <t xml:space="preserve">repeat_attempts_report_standard_count</t>
  </si>
  <si>
    <t xml:space="preserve">facial_similarity_report_standard_count</t>
  </si>
  <si>
    <t xml:space="preserve">autofill_count</t>
  </si>
  <si>
    <t xml:space="preserve">watchlist_report_full</t>
  </si>
  <si>
    <t xml:space="preserve">Watchlist - Standard (Full)</t>
  </si>
  <si>
    <t xml:space="preserve">watchlist_report_full_count</t>
  </si>
  <si>
    <t xml:space="preserve">Document Check - Boost</t>
  </si>
  <si>
    <t xml:space="preserve">document_report_standard_hybrid_count</t>
  </si>
  <si>
    <t xml:space="preserve">m3ter total-count line at 0.00, not a quote line. Quantity is the USA and ANY lines added together.</t>
  </si>
  <si>
    <t xml:space="preserve">us_driving_licence_report_standard</t>
  </si>
  <si>
    <t xml:space="preserve">AAMVA Check</t>
  </si>
  <si>
    <t xml:space="preserve">us_driving_licence_report_standard_count</t>
  </si>
  <si>
    <t xml:space="preserve">identity_report_standard</t>
  </si>
  <si>
    <t xml:space="preserve">ID Record</t>
  </si>
  <si>
    <t xml:space="preserve">identity_report_standard_count</t>
  </si>
  <si>
    <t xml:space="preserve">watchlist_report_kyc</t>
  </si>
  <si>
    <t xml:space="preserve">Watchlist - Enhanced (KYC)</t>
  </si>
  <si>
    <t xml:space="preserve">watchlist_report_kyc_count</t>
  </si>
  <si>
    <t xml:space="preserve">india_pan_report_standard</t>
  </si>
  <si>
    <t xml:space="preserve">India Tax ID</t>
  </si>
  <si>
    <t xml:space="preserve">india_pan_report_standard_count</t>
  </si>
  <si>
    <t xml:space="preserve">facial_similarity_report_video</t>
  </si>
  <si>
    <t xml:space="preserve">Facial Similarity Check - Video</t>
  </si>
  <si>
    <t xml:space="preserve">facial_similarity_report_video_count</t>
  </si>
  <si>
    <t xml:space="preserve">document_report_standard_manual_count</t>
  </si>
  <si>
    <t xml:space="preserve">eid_spid_basic</t>
  </si>
  <si>
    <t xml:space="preserve">eID, Italy - SPID Basic</t>
  </si>
  <si>
    <t xml:space="preserve">eid_spid_basic_count</t>
  </si>
  <si>
    <t xml:space="preserve">document_report_video</t>
  </si>
  <si>
    <t xml:space="preserve">Document Check Video - Boost</t>
  </si>
  <si>
    <t xml:space="preserve">document_report_video_count</t>
  </si>
  <si>
    <t xml:space="preserve">watchlist_report_aml</t>
  </si>
  <si>
    <t xml:space="preserve">Watchlist - AML</t>
  </si>
  <si>
    <t xml:space="preserve">watchlist_report_aml_count</t>
  </si>
  <si>
    <t xml:space="preserve">applicant_fraud_report_standard_count</t>
  </si>
  <si>
    <t xml:space="preserve">facial_similarity_report_photo_fully_auto_count</t>
  </si>
  <si>
    <t xml:space="preserve">No usage in January</t>
  </si>
  <si>
    <t xml:space="preserve">motion_authentication</t>
  </si>
  <si>
    <t xml:space="preserve">Authentication: Motion</t>
  </si>
  <si>
    <t xml:space="preserve">document_report_standard_auto_count</t>
  </si>
  <si>
    <t xml:space="preserve">facial_similarity_report_motion_count</t>
  </si>
  <si>
    <t xml:space="preserve">ssn_report_standard</t>
  </si>
  <si>
    <t xml:space="preserve">SSN Check</t>
  </si>
  <si>
    <t xml:space="preserve">ssn_report_standard_count</t>
  </si>
  <si>
    <t xml:space="preserve">right_to_work_report_standard</t>
  </si>
  <si>
    <t xml:space="preserve">Right to Work (UK Only)</t>
  </si>
  <si>
    <t xml:space="preserve">right_to_work_report_standard_count</t>
  </si>
  <si>
    <t xml:space="preserve">proof_of_address_report_standard_count</t>
  </si>
  <si>
    <t xml:space="preserve">Document Check - Photo (006So00000N2H7ZIAV) (country=USA)</t>
  </si>
  <si>
    <t xml:space="preserve">document_report_standard_hybrid_count_006So00000N2H7ZIAV</t>
  </si>
  <si>
    <t xml:space="preserve">document_report_standard_hybrid_count_006So00000N2H7ZIAV (country=ANY)</t>
  </si>
  <si>
    <t xml:space="preserve">ANY</t>
  </si>
  <si>
    <t xml:space="preserve">Every country without its own price. The segment is empty on the m3ter bill line.</t>
  </si>
  <si>
    <t xml:space="preserve">known_faces_report_standard_count</t>
  </si>
  <si>
    <t xml:space="preserve">uk_evisa_verification</t>
  </si>
  <si>
    <t xml:space="preserve">eID, UK eVisa Verification</t>
  </si>
  <si>
    <t xml:space="preserve">uk_evisa_verification_count</t>
  </si>
  <si>
    <t xml:space="preserve">The bill has no prepayment drawdown line. The contract's prepayment balance in m3ter is 0.00, so January usage was billed in full.</t>
  </si>
  <si>
    <t xml:space="preserve">Line 6 is the plain Boost count, priced at 0.00 on the plan. The same checks are charged on lines 24 and 25 through the country-segmented aggregation, so line 6 carries the total (15,767 + 3,939 = 19,706) and no charge.</t>
  </si>
  <si>
    <t xml:space="preserve">Lines with no quote line are rate card items the customer did not use in January. Their price in column P is the rate card price.</t>
  </si>
  <si>
    <t xml:space="preserve">Zero-quantity lines show a billed unit price of 0.00 because the m3ter bill line has no price band when there is no usage.</t>
  </si>
  <si>
    <t xml:space="preserve">The bill is in m3ter's own line order (sequenceNumber). Use the filter on row 27 to show only lines with a charge.</t>
  </si>
  <si>
    <t xml:space="preserve">Rate Card D USD Default Pricing: the plan template behind the customer's plan</t>
  </si>
  <si>
    <t xml:space="preserve">All 35 prices on the m3ter plan template rate_card_d_usd_default_pricing. Each has one price band, starts on 1900-01-01 and has no end date. Blue: values held in m3ter. Green: formulas reading another tab.</t>
  </si>
  <si>
    <t xml:space="preserve">Segment</t>
  </si>
  <si>
    <t xml:space="preserve">Lines on January 2026 bill</t>
  </si>
  <si>
    <t xml:space="preserve">advanced_electronic_signature_count</t>
  </si>
  <si>
    <t xml:space="preserve">Signhost</t>
  </si>
  <si>
    <t xml:space="preserve">advanced_electronic_signature</t>
  </si>
  <si>
    <t xml:space="preserve">document_report_driver_verification_count</t>
  </si>
  <si>
    <t xml:space="preserve">Document Check - Driver Verification</t>
  </si>
  <si>
    <t xml:space="preserve">document_report_driver_verification</t>
  </si>
  <si>
    <t xml:space="preserve">document_report_video_ETSI_Certified_IDV_count</t>
  </si>
  <si>
    <t xml:space="preserve">Document Check Video - Boost - ETSI Certified IDV</t>
  </si>
  <si>
    <t xml:space="preserve">document_report_video_ETSI_Certified_IDV</t>
  </si>
  <si>
    <t xml:space="preserve">is_retry:false</t>
  </si>
  <si>
    <t xml:space="preserve">is_retry:true</t>
  </si>
  <si>
    <t xml:space="preserve">document_report_video_ETSI_Certified_IDV_with_QES_and_OTP_count</t>
  </si>
  <si>
    <t xml:space="preserve">Document Check Video</t>
  </si>
  <si>
    <t xml:space="preserve">document_report_video_ETSI_Certified_IDV_with_QES_and_OTP</t>
  </si>
  <si>
    <t xml:space="preserve">mastercard_identity_account_opening_amer_count</t>
  </si>
  <si>
    <t xml:space="preserve">Mastercard Identity</t>
  </si>
  <si>
    <t xml:space="preserve">mastercard_identity_account_opening_amer</t>
  </si>
  <si>
    <t xml:space="preserve">mastercard_identity_account_opening_emea_count</t>
  </si>
  <si>
    <t xml:space="preserve">mastercard_identity_account_opening_emea</t>
  </si>
  <si>
    <t xml:space="preserve">mastercard_identity_account_opening_row_count</t>
  </si>
  <si>
    <t xml:space="preserve">mastercard_identity_account_opening_row</t>
  </si>
  <si>
    <t xml:space="preserve">ongoing_monitoring_aml_top_up_count</t>
  </si>
  <si>
    <t xml:space="preserve">Ongoing Monitoring for Watchlist AML Top Up</t>
  </si>
  <si>
    <t xml:space="preserve">ongoing_monitoring_aml_top_up</t>
  </si>
  <si>
    <t xml:space="preserve">The customer's plan (checks_006So00000N2H7ZIAV) is built on this template. It sets 8 prices of its own. Six replace a price here; the other two are the USA and ANY country prices on the opportunity's own Boost aggregation, which is not on the rate card.</t>
  </si>
  <si>
    <t xml:space="preserve">25 of the 33 rate card items appear on the January 2026 bill. With the two country lines that makes the bill's 27 lines.</t>
  </si>
  <si>
    <t xml:space="preserve">The two Document Check Video items are priced per is_retry segment, so they take two rows each.</t>
  </si>
  <si>
    <t xml:space="preserve">Written to</t>
  </si>
  <si>
    <t xml:space="preserve">Source</t>
  </si>
  <si>
    <t xml:space="preserve">Object</t>
  </si>
  <si>
    <t xml:space="preserve">Obtained via</t>
  </si>
  <si>
    <t xml:space="preserve">Query or request</t>
  </si>
  <si>
    <t xml:space="preserve">Parameters</t>
  </si>
  <si>
    <t xml:space="preserve">Run at</t>
  </si>
  <si>
    <t xml:space="preserve">Requested by</t>
  </si>
  <si>
    <t xml:space="preserve">Row count</t>
  </si>
  <si>
    <t xml:space="preserve">Changes after retrieval</t>
  </si>
  <si>
    <t xml:space="preserve">'Alloy quote'!A4:B16 (except B7)</t>
  </si>
  <si>
    <t xml:space="preserve">m3ter data in local Postgres (customerdb, schema entrust)</t>
  </si>
  <si>
    <t xml:space="preserve">customerdb.entrust.accounts, contracts, accountplans, plans, plantemplates</t>
  </si>
  <si>
    <t xml:space="preserve">Read-only SQL through the Postgres MCP server, run by Claude</t>
  </si>
  <si>
    <t xml:space="preserve">SELECT a.id AS account_id, a.name AS account, a.code AS account_code, a.currency AS account_currency, c.id AS contract_id, c.code AS contract_code, c."startDate", c."endDate", c."customFields_opportunityId" AS opp, c."customFields_contractLength" AS term_months, c."customFields_nsUsageACV" AS usage_acv, c."customFields_CSMFeeCommitment" AS csm_fee, c."customFields_billingType" AS billing_type, ap."startDate" AS ap_start, ap."endDate" AS ap_end, p.id AS plan_id, p.code AS plan_code, p.name AS plan_name, pt.code AS template_code, pt.name AS rate_card, pt."billFrequency" AS bill_frequency, pt.currency AS template_currency FROM entrust.accounts a LEFT JOIN entrust.contracts c ON c."accountId" = a.id LEFT JOIN entrust.accountplans ap ON ap."accountId" = a.id LEFT JOIN entrust.plans p ON p.id = ap."planId" LEFT JOIN entrust.plantemplates pt ON pt.id = p."planTemplateId" WHERE a.code = '00124000018txRVAAY' ORDER BY ap."startDate"</t>
  </si>
  <si>
    <t xml:space="preserve">None</t>
  </si>
  <si>
    <t xml:space="preserve">2026-10-07, 19:30 to 19:40 IST (UTC+01:00)</t>
  </si>
  <si>
    <t xml:space="preserve">John Griffin</t>
  </si>
  <si>
    <t xml:space="preserve">One row laid out as label and value. Quote type taken from the plan name. Empty CSM fee shown as 0. Minimum prepayment is usage_acv.</t>
  </si>
  <si>
    <t xml:space="preserve">'Alloy quote'!B7</t>
  </si>
  <si>
    <t xml:space="preserve">customerdb.entrust.plans</t>
  </si>
  <si>
    <t xml:space="preserve">SELECT row_to_json(t)::text FROM (SELECT * FROM entrust.plans WHERE id = '5c481fcd-b0aa-4fe5-aa37-1806ef04c488') t</t>
  </si>
  <si>
    <t xml:space="preserve">customFields_superseededOppId only.</t>
  </si>
  <si>
    <t xml:space="preserve">'Alloy quote'!A20:F32 and I21:I32 (plan lines)</t>
  </si>
  <si>
    <t xml:space="preserve">customerdb.entrust.pricings, aggregations, meters, products</t>
  </si>
  <si>
    <t xml:space="preserve">SELECT pr.id, ag.code AS agg_code, ag.name AS agg_name, ag."segmentedFields"::text AS seg_fields, m.code AS meter_code, pr."segmentString" AS segment, pr.description, ap2.code AS acct_product_code, ap2.name AS acct_product_name, pr."pricingBands"::text AS bands, pr."startDate", pr."endDate" FROM entrust.pricings pr LEFT JOIN entrust.aggregations ag ON ag.id = pr."aggregationId" LEFT JOIN entrust.meters m ON m.id = ag."meterId" LEFT JOIN entrust.products ap2 ON ap2.id = pr."accountingProductId" WHERE pr."planId" = '5c481fcd-b0aa-4fe5-aa37-1806ef04c488' ORDER BY m.code, ag.code, pr."segmentString", pr."startDate"</t>
  </si>
  <si>
    <t xml:space="preserve">Seven of the eight plan prices became quote lines; the 0.00 price on the plain Boost count is not a quote line. Line ids added. Rate card lines (A-03, A-04, A-10, A-11, A-12) added from the bill because they had January usage.</t>
  </si>
  <si>
    <t xml:space="preserve">'Rate card D USD'!A4:E39</t>
  </si>
  <si>
    <t xml:space="preserve">customerdb.entrust.pricings, aggregations, meters (plan template rate_card_d_usd_default_pricing)</t>
  </si>
  <si>
    <t xml:space="preserve">SELECT ag.code AS agg, ag.name, m.code AS meter, pr."segmentString" AS seg, LEFT(pr."startDate",10) AS s, LEFT(pr."endDate",10) AS e, (pr."pricingBands"-&gt;0-&gt;&gt;'unitPrice') AS price, json_array_length(pr."pricingBands") AS bands FROM entrust.pricings pr JOIN entrust.aggregations ag ON ag.id = pr."aggregationId" LEFT JOIN entrust.meters m ON m.id = ag."meterId" WHERE pr."planTemplateId" = '6a7362d2-acff-49cc-9039-c9af9ed9ca6a' ORDER BY ag.code, pr."startDate"</t>
  </si>
  <si>
    <t xml:space="preserve">None. Rows were loaded from the config JSON built for the structure chart, whose rate card section matches this query (md5 of all 35 rows).</t>
  </si>
  <si>
    <t xml:space="preserve">All open-ended, one price band each.</t>
  </si>
  <si>
    <t xml:space="preserve">'January 2026 bill'!A27:N54</t>
  </si>
  <si>
    <t xml:space="preserve">customerdb.entrust.bills (lineItems), aggregations, meters</t>
  </si>
  <si>
    <t xml:space="preserve">SELECT (li-&gt;&gt;'sequenceNumber')::int AS seq, li-&gt;&gt;'lineItemType' AS type, li-&gt;&gt;'accountingProductCode' AS acct_product_code, li-&gt;&gt;'accountingProductName' AS acct_product_name, li-&gt;&gt;'description' AS description, ag.code AS agg_code, m.code AS meter_code, li-&gt;&gt;'segment' AS segment, (li-&gt;&gt;'quantity')::numeric AS qty, (li-&gt;&gt;'averageUnitPrice')::numeric AS avg_price, (li-&gt;&gt;'subtotal')::numeric AS subtotal, LEFT(li-&gt;&gt;'servicePeriodStartDate',10) AS sp_start, LEFT(li-&gt;&gt;'servicePeriodEndDate',10) AS sp_end, li-&gt;&gt;'pricingId' AS pricing_id FROM entrust.bills b CROSS JOIN LATERAL json_array_elements(b."lineItems") li LEFT JOIN entrust.aggregations ag ON ag.id = li-&gt;&gt;'aggregationId' LEFT JOIN entrust.meters m ON m.id = li-&gt;&gt;'meterId' WHERE b.id = '06c06bb9-0775-4d57-b2a0-3a2b7129ea3b' ORDER BY 1</t>
  </si>
  <si>
    <t xml:space="preserve">Price held on derived from pricing_id (the plan's 8 pricing ids against the rest). Empty country segment on line 25 shown as ANY. Quote line and Note columns added.</t>
  </si>
  <si>
    <t xml:space="preserve">'January 2026 bill'!D5:D11 and D23</t>
  </si>
  <si>
    <t xml:space="preserve">customerdb.entrust.bills</t>
  </si>
  <si>
    <t xml:space="preserve">SELECT b.id, b."startDate", b."endDate", b."billDate", b."dueDate", b.status, b.currency, b."billTotal", b."lastCalculatedDate", json_array_length(b."lineItems") AS lines, (SELECT ROUND(SUM((li-&gt;&gt;'subtotal')::numeric),2) FROM json_array_elements(b."lineItems") li) AS net, (SELECT string_agg(DISTINCT li-&gt;&gt;'lineItemType', ',') FROM json_array_elements(b."lineItems") li) AS types FROM entrust.bills b WHERE b."accountCode" = '00124000018txRVAAY' ORDER BY b."startDate"</t>
  </si>
  <si>
    <t xml:space="preserve">January 2026 row used. The other two rows (November and December 2025) were used only to confirm there is no drawdown line.</t>
  </si>
  <si>
    <t xml:space="preserve">billTotal is stored rounded to whole dollars (13,212).</t>
  </si>
  <si>
    <t xml:space="preserve">Notes on prepayment</t>
  </si>
  <si>
    <t xml:space="preserve">customerdb.entrust.balances</t>
  </si>
  <si>
    <t xml:space="preserve">SELECT id, name, code, amount, currency, "startDate", "endDate", "rolloverAmount", "lineItemTypes"::text, "balanceDrawDownDescription", "contractId" FROM entrust.balances WHERE "accountId" = 'fc1314aa-7a85-4770-86d6-40659e2ac785' ORDER BY "startDate"</t>
  </si>
  <si>
    <t xml:space="preserve">Not written to a cell. Balance amount is 0.00 for 26 May 2025 to 26 May 2026.</t>
  </si>
</sst>
</file>

<file path=xl/styles.xml><?xml version="1.0" encoding="utf-8"?>
<styleSheet xmlns="http://schemas.openxmlformats.org/spreadsheetml/2006/main">
  <numFmts count="10">
    <numFmt numFmtId="164" formatCode="General"/>
    <numFmt numFmtId="165" formatCode="d\ mmm\ yyyy"/>
    <numFmt numFmtId="166" formatCode="0"/>
    <numFmt numFmtId="167" formatCode="#,##0.00;\(#,##0.00\);\-"/>
    <numFmt numFmtId="168" formatCode="0.00;\(0.00\);\-"/>
    <numFmt numFmtId="169" formatCode="0.0%;\(0.0%\);\-"/>
    <numFmt numFmtId="170" formatCode="#,##0;\(#,##0\);\-"/>
    <numFmt numFmtId="171" formatCode="0.0;\(0.0\);\-"/>
    <numFmt numFmtId="172" formatCode="#,##0.00;\(#,##0.00\);0.00"/>
    <numFmt numFmtId="173"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sz val="10"/>
      <color rgb="FF008000"/>
      <name val="Arial"/>
      <family val="0"/>
      <charset val="1"/>
    </font>
    <font>
      <sz val="10"/>
      <color rgb="FF000000"/>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left" vertical="bottom" textRotation="0" wrapText="false" indent="0" shrinkToFit="false"/>
      <protection locked="true" hidden="false"/>
    </xf>
    <xf numFmtId="166" fontId="7" fillId="0" borderId="1" xfId="0" applyFont="true" applyBorder="true" applyAlignment="true" applyProtection="false">
      <alignment horizontal="left" vertical="bottom" textRotation="0" wrapText="false" indent="0" shrinkToFit="false"/>
      <protection locked="true" hidden="false"/>
    </xf>
    <xf numFmtId="167" fontId="7" fillId="0" borderId="1" xfId="0" applyFont="true" applyBorder="true" applyAlignment="true" applyProtection="false">
      <alignment horizontal="lef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left" vertical="bottom" textRotation="0" wrapText="false" indent="0" shrinkToFit="false"/>
      <protection locked="true" hidden="false"/>
    </xf>
    <xf numFmtId="172" fontId="11" fillId="0" borderId="1" xfId="0" applyFont="true" applyBorder="true" applyAlignment="true" applyProtection="false">
      <alignment horizontal="left" vertical="bottom" textRotation="0" wrapText="false" indent="0" shrinkToFit="false"/>
      <protection locked="true" hidden="false"/>
    </xf>
    <xf numFmtId="172" fontId="6" fillId="2" borderId="1" xfId="0" applyFont="true" applyBorder="true" applyAlignment="true" applyProtection="false">
      <alignment horizontal="left" vertical="bottom" textRotation="0" wrapText="false" indent="0" shrinkToFit="false"/>
      <protection locked="true" hidden="false"/>
    </xf>
    <xf numFmtId="173" fontId="7" fillId="0" borderId="1" xfId="0" applyFont="true" applyBorder="true" applyAlignment="true" applyProtection="false">
      <alignment horizontal="left"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false" showRowColHeaders="true" showZeros="true" rightToLeft="false" tabSelected="true" showOutlineSymbols="true" defaultGridColor="true" view="normal" topLeftCell="A2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44"/>
    <col collapsed="false" customWidth="true" hidden="false" outlineLevel="0" max="4" min="4" style="0" width="42"/>
    <col collapsed="false" customWidth="true" hidden="false" outlineLevel="0" max="5" min="5" style="0" width="16"/>
    <col collapsed="false" customWidth="true" hidden="false" outlineLevel="0" max="6" min="6" style="0" width="13"/>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15"/>
    <col collapsed="false" customWidth="true" hidden="false" outlineLevel="0" max="13" min="12" style="0" width="1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5" t="n">
        <v>45803</v>
      </c>
    </row>
    <row r="10" customFormat="false" ht="15" hidden="false" customHeight="false" outlineLevel="0" collapsed="false">
      <c r="A10" s="3" t="s">
        <v>14</v>
      </c>
      <c r="B10" s="5" t="n">
        <v>46168</v>
      </c>
    </row>
    <row r="11" customFormat="false" ht="15" hidden="false" customHeight="false" outlineLevel="0" collapsed="false">
      <c r="A11" s="3" t="s">
        <v>15</v>
      </c>
      <c r="B11" s="6" t="n">
        <v>12</v>
      </c>
    </row>
    <row r="12" customFormat="false" ht="15" hidden="false" customHeight="false" outlineLevel="0" collapsed="false">
      <c r="A12" s="3" t="s">
        <v>16</v>
      </c>
      <c r="B12" s="4" t="s">
        <v>17</v>
      </c>
    </row>
    <row r="13" customFormat="false" ht="15" hidden="false" customHeight="false" outlineLevel="0" collapsed="false">
      <c r="A13" s="3" t="s">
        <v>18</v>
      </c>
      <c r="B13" s="4" t="s">
        <v>19</v>
      </c>
    </row>
    <row r="14" customFormat="false" ht="15" hidden="false" customHeight="false" outlineLevel="0" collapsed="false">
      <c r="A14" s="3" t="s">
        <v>20</v>
      </c>
      <c r="B14" s="4" t="s">
        <v>21</v>
      </c>
    </row>
    <row r="15" customFormat="false" ht="15" hidden="false" customHeight="false" outlineLevel="0" collapsed="false">
      <c r="A15" s="3" t="s">
        <v>22</v>
      </c>
      <c r="B15" s="7" t="n">
        <v>15000</v>
      </c>
    </row>
    <row r="16" customFormat="false" ht="15" hidden="false" customHeight="false" outlineLevel="0" collapsed="false">
      <c r="A16" s="3" t="s">
        <v>23</v>
      </c>
      <c r="B16" s="7" t="n">
        <v>0</v>
      </c>
    </row>
    <row r="17" customFormat="false" ht="15" hidden="false" customHeight="false" outlineLevel="0" collapsed="false">
      <c r="A17" s="8" t="s">
        <v>24</v>
      </c>
      <c r="B17" s="9" t="n">
        <f aca="false">$B$15+$B$16</f>
        <v>15000</v>
      </c>
    </row>
    <row r="19" customFormat="false" ht="15" hidden="false" customHeight="false" outlineLevel="0" collapsed="false">
      <c r="A19" s="10" t="s">
        <v>25</v>
      </c>
    </row>
    <row r="20" customFormat="false" ht="42" hidden="false" customHeight="true" outlineLevel="0" collapsed="false">
      <c r="A20" s="11" t="s">
        <v>26</v>
      </c>
      <c r="B20" s="11" t="s">
        <v>27</v>
      </c>
      <c r="C20" s="11" t="s">
        <v>28</v>
      </c>
      <c r="D20" s="11" t="s">
        <v>29</v>
      </c>
      <c r="E20" s="11" t="s">
        <v>30</v>
      </c>
      <c r="F20" s="11" t="s">
        <v>31</v>
      </c>
      <c r="G20" s="11" t="s">
        <v>32</v>
      </c>
      <c r="H20" s="11" t="s">
        <v>33</v>
      </c>
      <c r="I20" s="11" t="s">
        <v>34</v>
      </c>
      <c r="J20" s="11" t="s">
        <v>35</v>
      </c>
      <c r="K20" s="11" t="s">
        <v>36</v>
      </c>
      <c r="L20" s="12" t="s">
        <v>37</v>
      </c>
      <c r="M20" s="12" t="s">
        <v>38</v>
      </c>
    </row>
    <row r="21" customFormat="false" ht="15" hidden="false" customHeight="false" outlineLevel="0" collapsed="false">
      <c r="A21" s="13" t="s">
        <v>39</v>
      </c>
      <c r="B21" s="13" t="s">
        <v>40</v>
      </c>
      <c r="C21" s="13" t="s">
        <v>41</v>
      </c>
      <c r="D21" s="13" t="s">
        <v>42</v>
      </c>
      <c r="E21" s="13" t="s">
        <v>43</v>
      </c>
      <c r="F21" s="13" t="s">
        <v>44</v>
      </c>
      <c r="G21" s="14" t="n">
        <f aca="false">INDEX('Rate card D USD'!$E$5:$E$39,MATCH($D21,'Rate card D USD'!$C$5:$C$39,0))</f>
        <v>1.59</v>
      </c>
      <c r="H21" s="15" t="n">
        <f aca="false">IF(G21=0,0,1-I21/G21)</f>
        <v>0.748427672955975</v>
      </c>
      <c r="I21" s="16" t="n">
        <v>0.4</v>
      </c>
      <c r="J21" s="17" t="n">
        <f aca="false">SUMIFS('January 2026 bill'!$K$28:$K$54,'January 2026 bill'!$O$28:$O$54,$A21)</f>
        <v>15767</v>
      </c>
      <c r="K21" s="18" t="n">
        <f aca="false">J21*I21</f>
        <v>6306.8</v>
      </c>
      <c r="L21" s="19" t="n">
        <f aca="false">IF(OR(I21=0,$K$33=0),0,$B$15*K21/$K$33/I21)</f>
        <v>17901.3681957316</v>
      </c>
      <c r="M21" s="18" t="n">
        <f aca="false">L21*I21</f>
        <v>7160.54727829265</v>
      </c>
    </row>
    <row r="22" customFormat="false" ht="15" hidden="false" customHeight="false" outlineLevel="0" collapsed="false">
      <c r="A22" s="13" t="s">
        <v>45</v>
      </c>
      <c r="B22" s="13" t="s">
        <v>46</v>
      </c>
      <c r="C22" s="13" t="s">
        <v>47</v>
      </c>
      <c r="D22" s="13" t="s">
        <v>42</v>
      </c>
      <c r="E22" s="13" t="s">
        <v>48</v>
      </c>
      <c r="F22" s="13" t="s">
        <v>44</v>
      </c>
      <c r="G22" s="14" t="n">
        <f aca="false">INDEX('Rate card D USD'!$E$5:$E$39,MATCH($D22,'Rate card D USD'!$C$5:$C$39,0))</f>
        <v>1.59</v>
      </c>
      <c r="H22" s="15" t="n">
        <f aca="false">IF(G22=0,0,1-I22/G22)</f>
        <v>0.572327044025157</v>
      </c>
      <c r="I22" s="16" t="n">
        <v>0.68</v>
      </c>
      <c r="J22" s="17" t="n">
        <f aca="false">SUMIFS('January 2026 bill'!$K$28:$K$54,'January 2026 bill'!$O$28:$O$54,$A22)</f>
        <v>3939</v>
      </c>
      <c r="K22" s="18" t="n">
        <f aca="false">J22*I22</f>
        <v>2678.52</v>
      </c>
      <c r="L22" s="19" t="n">
        <f aca="false">IF(OR(I22=0,$K$33=0),0,$B$15*K22/$K$33/I22)</f>
        <v>4472.2197832807</v>
      </c>
      <c r="M22" s="18" t="n">
        <f aca="false">L22*I22</f>
        <v>3041.10945263088</v>
      </c>
    </row>
    <row r="23" customFormat="false" ht="15" hidden="false" customHeight="false" outlineLevel="0" collapsed="false">
      <c r="A23" s="13" t="s">
        <v>49</v>
      </c>
      <c r="B23" s="13" t="s">
        <v>50</v>
      </c>
      <c r="C23" s="13" t="s">
        <v>51</v>
      </c>
      <c r="D23" s="13" t="s">
        <v>50</v>
      </c>
      <c r="E23" s="13" t="s">
        <v>52</v>
      </c>
      <c r="F23" s="13" t="s">
        <v>18</v>
      </c>
      <c r="G23" s="14" t="n">
        <f aca="false">INDEX('Rate card D USD'!$E$5:$E$39,MATCH($D23,'Rate card D USD'!$C$5:$C$39,0))</f>
        <v>0.54</v>
      </c>
      <c r="H23" s="15" t="n">
        <f aca="false">IF(G23=0,0,1-I23/G23)</f>
        <v>0</v>
      </c>
      <c r="I23" s="20" t="n">
        <f aca="false">G23</f>
        <v>0.54</v>
      </c>
      <c r="J23" s="17" t="n">
        <f aca="false">SUMIFS('January 2026 bill'!$K$28:$K$54,'January 2026 bill'!$O$28:$O$54,$A23)</f>
        <v>19</v>
      </c>
      <c r="K23" s="18" t="n">
        <f aca="false">J23*I23</f>
        <v>10.26</v>
      </c>
      <c r="L23" s="19" t="n">
        <f aca="false">IF(OR(I23=0,$K$33=0),0,$B$15*K23/$K$33/I23)</f>
        <v>21.5720172333926</v>
      </c>
      <c r="M23" s="18" t="n">
        <f aca="false">L23*I23</f>
        <v>11.648889306032</v>
      </c>
    </row>
    <row r="24" customFormat="false" ht="15" hidden="false" customHeight="false" outlineLevel="0" collapsed="false">
      <c r="A24" s="13" t="s">
        <v>53</v>
      </c>
      <c r="B24" s="13" t="s">
        <v>54</v>
      </c>
      <c r="C24" s="13" t="s">
        <v>55</v>
      </c>
      <c r="D24" s="13" t="s">
        <v>54</v>
      </c>
      <c r="E24" s="13" t="s">
        <v>52</v>
      </c>
      <c r="F24" s="13" t="s">
        <v>18</v>
      </c>
      <c r="G24" s="14" t="n">
        <f aca="false">INDEX('Rate card D USD'!$E$5:$E$39,MATCH($D24,'Rate card D USD'!$C$5:$C$39,0))</f>
        <v>2.78</v>
      </c>
      <c r="H24" s="15" t="n">
        <f aca="false">IF(G24=0,0,1-I24/G24)</f>
        <v>0</v>
      </c>
      <c r="I24" s="20" t="n">
        <f aca="false">G24</f>
        <v>2.78</v>
      </c>
      <c r="J24" s="17" t="n">
        <f aca="false">SUMIFS('January 2026 bill'!$K$28:$K$54,'January 2026 bill'!$O$28:$O$54,$A24)</f>
        <v>1</v>
      </c>
      <c r="K24" s="18" t="n">
        <f aca="false">J24*I24</f>
        <v>2.78</v>
      </c>
      <c r="L24" s="19" t="n">
        <f aca="false">IF(OR(I24=0,$K$33=0),0,$B$15*K24/$K$33/I24)</f>
        <v>1.13536932807329</v>
      </c>
      <c r="M24" s="18" t="n">
        <f aca="false">L24*I24</f>
        <v>3.15632673204376</v>
      </c>
    </row>
    <row r="25" customFormat="false" ht="15" hidden="false" customHeight="false" outlineLevel="0" collapsed="false">
      <c r="A25" s="13" t="s">
        <v>56</v>
      </c>
      <c r="B25" s="13" t="s">
        <v>57</v>
      </c>
      <c r="C25" s="13" t="s">
        <v>58</v>
      </c>
      <c r="D25" s="13" t="s">
        <v>57</v>
      </c>
      <c r="E25" s="13" t="s">
        <v>52</v>
      </c>
      <c r="F25" s="13" t="s">
        <v>44</v>
      </c>
      <c r="G25" s="14" t="n">
        <f aca="false">INDEX('Rate card D USD'!$E$5:$E$39,MATCH($D25,'Rate card D USD'!$C$5:$C$39,0))</f>
        <v>0.95</v>
      </c>
      <c r="H25" s="15" t="n">
        <f aca="false">IF(G25=0,0,1-I25/G25)</f>
        <v>0.736842105263158</v>
      </c>
      <c r="I25" s="16" t="n">
        <v>0.25</v>
      </c>
      <c r="J25" s="17" t="n">
        <f aca="false">SUMIFS('January 2026 bill'!$K$28:$K$54,'January 2026 bill'!$O$28:$O$54,$A25)</f>
        <v>14278</v>
      </c>
      <c r="K25" s="18" t="n">
        <f aca="false">J25*I25</f>
        <v>3569.5</v>
      </c>
      <c r="L25" s="19" t="n">
        <f aca="false">IF(OR(I25=0,$K$33=0),0,$B$15*K25/$K$33/I25)</f>
        <v>16210.8032662305</v>
      </c>
      <c r="M25" s="18" t="n">
        <f aca="false">L25*I25</f>
        <v>4052.70081655762</v>
      </c>
    </row>
    <row r="26" customFormat="false" ht="15" hidden="false" customHeight="false" outlineLevel="0" collapsed="false">
      <c r="A26" s="13" t="s">
        <v>59</v>
      </c>
      <c r="B26" s="13" t="s">
        <v>60</v>
      </c>
      <c r="C26" s="13" t="s">
        <v>61</v>
      </c>
      <c r="D26" s="13" t="s">
        <v>60</v>
      </c>
      <c r="E26" s="13" t="s">
        <v>52</v>
      </c>
      <c r="F26" s="13" t="s">
        <v>44</v>
      </c>
      <c r="G26" s="14" t="n">
        <f aca="false">INDEX('Rate card D USD'!$E$5:$E$39,MATCH($D26,'Rate card D USD'!$C$5:$C$39,0))</f>
        <v>0.77</v>
      </c>
      <c r="H26" s="15" t="n">
        <f aca="false">IF(G26=0,0,1-I26/G26)</f>
        <v>0.675324675324675</v>
      </c>
      <c r="I26" s="16" t="n">
        <v>0.25</v>
      </c>
      <c r="J26" s="17" t="n">
        <f aca="false">SUMIFS('January 2026 bill'!$K$28:$K$54,'January 2026 bill'!$O$28:$O$54,$A26)</f>
        <v>0</v>
      </c>
      <c r="K26" s="18" t="n">
        <f aca="false">J26*I26</f>
        <v>0</v>
      </c>
      <c r="L26" s="19" t="n">
        <f aca="false">IF(OR(I26=0,$K$33=0),0,$B$15*K26/$K$33/I26)</f>
        <v>0</v>
      </c>
      <c r="M26" s="18" t="n">
        <f aca="false">L26*I26</f>
        <v>0</v>
      </c>
    </row>
    <row r="27" customFormat="false" ht="15" hidden="false" customHeight="false" outlineLevel="0" collapsed="false">
      <c r="A27" s="13" t="s">
        <v>62</v>
      </c>
      <c r="B27" s="13" t="s">
        <v>63</v>
      </c>
      <c r="C27" s="13" t="s">
        <v>64</v>
      </c>
      <c r="D27" s="13" t="s">
        <v>63</v>
      </c>
      <c r="E27" s="13" t="s">
        <v>52</v>
      </c>
      <c r="F27" s="13" t="s">
        <v>44</v>
      </c>
      <c r="G27" s="14" t="n">
        <f aca="false">INDEX('Rate card D USD'!$E$5:$E$39,MATCH($D27,'Rate card D USD'!$C$5:$C$39,0))</f>
        <v>1.21</v>
      </c>
      <c r="H27" s="15" t="n">
        <f aca="false">IF(G27=0,0,1-I27/G27)</f>
        <v>0.752066115702479</v>
      </c>
      <c r="I27" s="16" t="n">
        <v>0.3</v>
      </c>
      <c r="J27" s="17" t="n">
        <f aca="false">SUMIFS('January 2026 bill'!$K$28:$K$54,'January 2026 bill'!$O$28:$O$54,$A27)</f>
        <v>2119</v>
      </c>
      <c r="K27" s="18" t="n">
        <f aca="false">J27*I27</f>
        <v>635.7</v>
      </c>
      <c r="L27" s="19" t="n">
        <f aca="false">IF(OR(I27=0,$K$33=0),0,$B$15*K27/$K$33/I27)</f>
        <v>2405.84760618731</v>
      </c>
      <c r="M27" s="18" t="n">
        <f aca="false">L27*I27</f>
        <v>721.754281856193</v>
      </c>
    </row>
    <row r="28" customFormat="false" ht="15" hidden="false" customHeight="false" outlineLevel="0" collapsed="false">
      <c r="A28" s="13" t="s">
        <v>65</v>
      </c>
      <c r="B28" s="13" t="s">
        <v>66</v>
      </c>
      <c r="C28" s="13" t="s">
        <v>67</v>
      </c>
      <c r="D28" s="13" t="s">
        <v>66</v>
      </c>
      <c r="E28" s="13" t="s">
        <v>52</v>
      </c>
      <c r="F28" s="13" t="s">
        <v>44</v>
      </c>
      <c r="G28" s="14" t="n">
        <f aca="false">INDEX('Rate card D USD'!$E$5:$E$39,MATCH($D28,'Rate card D USD'!$C$5:$C$39,0))</f>
        <v>2.36</v>
      </c>
      <c r="H28" s="15" t="n">
        <f aca="false">IF(G28=0,0,1-I28/G28)</f>
        <v>0.322033898305085</v>
      </c>
      <c r="I28" s="16" t="n">
        <v>1.6</v>
      </c>
      <c r="J28" s="17" t="n">
        <f aca="false">SUMIFS('January 2026 bill'!$K$28:$K$54,'January 2026 bill'!$O$28:$O$54,$A28)</f>
        <v>5</v>
      </c>
      <c r="K28" s="18" t="n">
        <f aca="false">J28*I28</f>
        <v>8</v>
      </c>
      <c r="L28" s="19" t="n">
        <f aca="false">IF(OR(I28=0,$K$33=0),0,$B$15*K28/$K$33/I28)</f>
        <v>5.67684664036647</v>
      </c>
      <c r="M28" s="18" t="n">
        <f aca="false">L28*I28</f>
        <v>9.08295462458635</v>
      </c>
    </row>
    <row r="29" customFormat="false" ht="15" hidden="false" customHeight="false" outlineLevel="0" collapsed="false">
      <c r="A29" s="13" t="s">
        <v>68</v>
      </c>
      <c r="B29" s="13" t="s">
        <v>69</v>
      </c>
      <c r="C29" s="13" t="s">
        <v>70</v>
      </c>
      <c r="D29" s="13" t="s">
        <v>69</v>
      </c>
      <c r="E29" s="13" t="s">
        <v>52</v>
      </c>
      <c r="F29" s="13" t="s">
        <v>44</v>
      </c>
      <c r="G29" s="14" t="n">
        <f aca="false">INDEX('Rate card D USD'!$E$5:$E$39,MATCH($D29,'Rate card D USD'!$C$5:$C$39,0))</f>
        <v>0</v>
      </c>
      <c r="H29" s="15" t="n">
        <f aca="false">IF(G29=0,0,1-I29/G29)</f>
        <v>0</v>
      </c>
      <c r="I29" s="16" t="n">
        <v>0.12</v>
      </c>
      <c r="J29" s="17" t="n">
        <f aca="false">SUMIFS('January 2026 bill'!$K$28:$K$54,'January 2026 bill'!$O$28:$O$54,$A29)</f>
        <v>0</v>
      </c>
      <c r="K29" s="18" t="n">
        <f aca="false">J29*I29</f>
        <v>0</v>
      </c>
      <c r="L29" s="19" t="n">
        <f aca="false">IF(OR(I29=0,$K$33=0),0,$B$15*K29/$K$33/I29)</f>
        <v>0</v>
      </c>
      <c r="M29" s="18" t="n">
        <f aca="false">L29*I29</f>
        <v>0</v>
      </c>
    </row>
    <row r="30" customFormat="false" ht="15" hidden="false" customHeight="false" outlineLevel="0" collapsed="false">
      <c r="A30" s="13" t="s">
        <v>71</v>
      </c>
      <c r="B30" s="13" t="s">
        <v>72</v>
      </c>
      <c r="C30" s="13" t="s">
        <v>73</v>
      </c>
      <c r="D30" s="13" t="s">
        <v>72</v>
      </c>
      <c r="E30" s="13" t="s">
        <v>52</v>
      </c>
      <c r="F30" s="13" t="s">
        <v>18</v>
      </c>
      <c r="G30" s="14" t="n">
        <f aca="false">INDEX('Rate card D USD'!$E$5:$E$39,MATCH($D30,'Rate card D USD'!$C$5:$C$39,0))</f>
        <v>0</v>
      </c>
      <c r="H30" s="15" t="n">
        <f aca="false">IF(G30=0,0,1-I30/G30)</f>
        <v>0</v>
      </c>
      <c r="I30" s="20" t="n">
        <f aca="false">G30</f>
        <v>0</v>
      </c>
      <c r="J30" s="17" t="n">
        <f aca="false">SUMIFS('January 2026 bill'!$K$28:$K$54,'January 2026 bill'!$O$28:$O$54,$A30)</f>
        <v>8760</v>
      </c>
      <c r="K30" s="18" t="n">
        <f aca="false">J30*I30</f>
        <v>0</v>
      </c>
      <c r="L30" s="19" t="n">
        <f aca="false">IF(OR(I30=0,$K$33=0),0,$B$15*K30/$K$33/I30)</f>
        <v>0</v>
      </c>
      <c r="M30" s="18" t="n">
        <f aca="false">L30*I30</f>
        <v>0</v>
      </c>
    </row>
    <row r="31" customFormat="false" ht="15" hidden="false" customHeight="false" outlineLevel="0" collapsed="false">
      <c r="A31" s="13" t="s">
        <v>74</v>
      </c>
      <c r="B31" s="13" t="s">
        <v>75</v>
      </c>
      <c r="C31" s="13" t="s">
        <v>76</v>
      </c>
      <c r="D31" s="13" t="s">
        <v>75</v>
      </c>
      <c r="E31" s="13" t="s">
        <v>52</v>
      </c>
      <c r="F31" s="13" t="s">
        <v>18</v>
      </c>
      <c r="G31" s="14" t="n">
        <f aca="false">INDEX('Rate card D USD'!$E$5:$E$39,MATCH($D31,'Rate card D USD'!$C$5:$C$39,0))</f>
        <v>0</v>
      </c>
      <c r="H31" s="15" t="n">
        <f aca="false">IF(G31=0,0,1-I31/G31)</f>
        <v>0</v>
      </c>
      <c r="I31" s="20" t="n">
        <f aca="false">G31</f>
        <v>0</v>
      </c>
      <c r="J31" s="17" t="n">
        <f aca="false">SUMIFS('January 2026 bill'!$K$28:$K$54,'January 2026 bill'!$O$28:$O$54,$A31)</f>
        <v>9148</v>
      </c>
      <c r="K31" s="18" t="n">
        <f aca="false">J31*I31</f>
        <v>0</v>
      </c>
      <c r="L31" s="19" t="n">
        <f aca="false">IF(OR(I31=0,$K$33=0),0,$B$15*K31/$K$33/I31)</f>
        <v>0</v>
      </c>
      <c r="M31" s="18" t="n">
        <f aca="false">L31*I31</f>
        <v>0</v>
      </c>
    </row>
    <row r="32" customFormat="false" ht="15" hidden="false" customHeight="false" outlineLevel="0" collapsed="false">
      <c r="A32" s="13" t="s">
        <v>77</v>
      </c>
      <c r="B32" s="13" t="s">
        <v>78</v>
      </c>
      <c r="C32" s="13" t="s">
        <v>79</v>
      </c>
      <c r="D32" s="13" t="s">
        <v>78</v>
      </c>
      <c r="E32" s="13" t="s">
        <v>52</v>
      </c>
      <c r="F32" s="13" t="s">
        <v>18</v>
      </c>
      <c r="G32" s="14" t="n">
        <f aca="false">INDEX('Rate card D USD'!$E$5:$E$39,MATCH($D32,'Rate card D USD'!$C$5:$C$39,0))</f>
        <v>0</v>
      </c>
      <c r="H32" s="15" t="n">
        <f aca="false">IF(G32=0,0,1-I32/G32)</f>
        <v>0</v>
      </c>
      <c r="I32" s="20" t="n">
        <f aca="false">G32</f>
        <v>0</v>
      </c>
      <c r="J32" s="17" t="n">
        <f aca="false">SUMIFS('January 2026 bill'!$K$28:$K$54,'January 2026 bill'!$O$28:$O$54,$A32)</f>
        <v>32568</v>
      </c>
      <c r="K32" s="18" t="n">
        <f aca="false">J32*I32</f>
        <v>0</v>
      </c>
      <c r="L32" s="19" t="n">
        <f aca="false">IF(OR(I32=0,$K$33=0),0,$B$15*K32/$K$33/I32)</f>
        <v>0</v>
      </c>
      <c r="M32" s="18" t="n">
        <f aca="false">L32*I32</f>
        <v>0</v>
      </c>
    </row>
    <row r="33" customFormat="false" ht="15" hidden="false" customHeight="false" outlineLevel="0" collapsed="false">
      <c r="A33" s="8" t="s">
        <v>80</v>
      </c>
      <c r="B33" s="8"/>
      <c r="C33" s="8"/>
      <c r="D33" s="8"/>
      <c r="E33" s="8"/>
      <c r="F33" s="8"/>
      <c r="G33" s="8"/>
      <c r="H33" s="8"/>
      <c r="I33" s="8"/>
      <c r="J33" s="8"/>
      <c r="K33" s="21" t="n">
        <f aca="false">SUM(K21:K32)</f>
        <v>13211.56</v>
      </c>
      <c r="L33" s="8"/>
      <c r="M33" s="21" t="n">
        <f aca="false">SUM(M21:M32)</f>
        <v>15000</v>
      </c>
    </row>
    <row r="34" customFormat="false" ht="15" hidden="false" customHeight="false" outlineLevel="0" collapsed="false">
      <c r="A34" s="22" t="s">
        <v>81</v>
      </c>
      <c r="M34" s="18" t="n">
        <f aca="false">ROUND(M33-$B$15,2)</f>
        <v>0</v>
      </c>
    </row>
    <row r="35" customFormat="false" ht="15" hidden="false" customHeight="false" outlineLevel="0" collapsed="false">
      <c r="A35" s="22" t="s">
        <v>82</v>
      </c>
      <c r="K35" s="18" t="n">
        <f aca="false">K33*12</f>
        <v>158538.72</v>
      </c>
    </row>
    <row r="36" customFormat="false" ht="15" hidden="false" customHeight="false" outlineLevel="0" collapsed="false">
      <c r="A36" s="22" t="s">
        <v>83</v>
      </c>
      <c r="K36" s="23" t="n">
        <f aca="false">IF(K33=0,0,$B$15/K33)</f>
        <v>1.13536932807329</v>
      </c>
    </row>
    <row r="38" customFormat="false" ht="15" hidden="false" customHeight="false" outlineLevel="0" collapsed="false">
      <c r="A38" s="10" t="s">
        <v>84</v>
      </c>
    </row>
    <row r="39" customFormat="false" ht="15" hidden="false" customHeight="false" outlineLevel="0" collapsed="false">
      <c r="A39" s="22" t="s">
        <v>85</v>
      </c>
    </row>
    <row r="40" customFormat="false" ht="15" hidden="false" customHeight="false" outlineLevel="0" collapsed="false">
      <c r="A40" s="22" t="s">
        <v>86</v>
      </c>
    </row>
    <row r="41" customFormat="false" ht="15" hidden="false" customHeight="false" outlineLevel="0" collapsed="false">
      <c r="A41" s="22" t="s">
        <v>87</v>
      </c>
    </row>
    <row r="42" customFormat="false" ht="15" hidden="false" customHeight="false" outlineLevel="0" collapsed="false">
      <c r="A42" s="22" t="s">
        <v>88</v>
      </c>
    </row>
    <row r="43" customFormat="false" ht="15" hidden="false" customHeight="false" outlineLevel="0" collapsed="false">
      <c r="A43" s="22" t="s">
        <v>89</v>
      </c>
    </row>
    <row r="44" customFormat="false" ht="15" hidden="false" customHeight="false" outlineLevel="0" collapsed="false">
      <c r="A44" s="22" t="s">
        <v>90</v>
      </c>
    </row>
    <row r="45" customFormat="false" ht="15" hidden="false" customHeight="false" outlineLevel="0" collapsed="false">
      <c r="A45" s="22" t="s">
        <v>91</v>
      </c>
    </row>
    <row r="46" customFormat="false" ht="15" hidden="false" customHeight="false" outlineLevel="0" collapsed="false">
      <c r="A46" s="22" t="s">
        <v>92</v>
      </c>
    </row>
    <row r="47" customFormat="false" ht="15" hidden="false" customHeight="false" outlineLevel="0" collapsed="false">
      <c r="A47" s="22" t="s">
        <v>93</v>
      </c>
    </row>
    <row r="48" customFormat="false" ht="15" hidden="false" customHeight="false" outlineLevel="0" collapsed="false">
      <c r="A48" s="22" t="s">
        <v>94</v>
      </c>
    </row>
    <row r="49" customFormat="false" ht="15" hidden="false" customHeight="false" outlineLevel="0" collapsed="false">
      <c r="A49" s="22" t="s">
        <v>95</v>
      </c>
    </row>
    <row r="50" customFormat="false" ht="15" hidden="false" customHeight="false" outlineLevel="0" collapsed="false">
      <c r="A50" s="22" t="s">
        <v>96</v>
      </c>
    </row>
    <row r="51" customFormat="false" ht="15" hidden="false" customHeight="false" outlineLevel="0" collapsed="false">
      <c r="A51" s="2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7" topLeftCell="A2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4" min="3" style="0" width="42"/>
    <col collapsed="false" customWidth="true" hidden="false" outlineLevel="0" max="5" min="5" style="0" width="58"/>
    <col collapsed="false" customWidth="true" hidden="false" outlineLevel="0" max="6" min="6" style="0" width="54"/>
    <col collapsed="false" customWidth="true" hidden="false" outlineLevel="0" max="7" min="7" style="0" width="42"/>
    <col collapsed="false" customWidth="true" hidden="false" outlineLevel="0" max="8" min="8" style="0" width="10"/>
    <col collapsed="false" customWidth="true" hidden="false" outlineLevel="0" max="10" min="9" style="0" width="12"/>
    <col collapsed="false" customWidth="true" hidden="false" outlineLevel="0" max="11" min="11" style="0" width="10"/>
    <col collapsed="false" customWidth="true" hidden="false" outlineLevel="0" max="12" min="12" style="0" width="11"/>
    <col collapsed="false" customWidth="true" hidden="false" outlineLevel="0" max="13" min="13" style="0" width="13"/>
    <col collapsed="false" customWidth="true" hidden="false" outlineLevel="0" max="14" min="14" style="0" width="11"/>
    <col collapsed="false" customWidth="true" hidden="false" outlineLevel="0" max="15" min="15" style="0" width="8"/>
    <col collapsed="false" customWidth="true" hidden="false" outlineLevel="0" max="16" min="16" style="0" width="11"/>
    <col collapsed="false" customWidth="true" hidden="false" outlineLevel="0" max="17" min="17" style="0" width="13"/>
    <col collapsed="false" customWidth="true" hidden="false" outlineLevel="0" max="18" min="18" style="0" width="11"/>
    <col collapsed="false" customWidth="true" hidden="false" outlineLevel="0" max="19" min="19" style="0" width="70"/>
  </cols>
  <sheetData>
    <row r="1" customFormat="false" ht="17.35" hidden="false" customHeight="false" outlineLevel="0" collapsed="false">
      <c r="A1" s="1" t="s">
        <v>98</v>
      </c>
    </row>
    <row r="2" customFormat="false" ht="15" hidden="false" customHeight="false" outlineLevel="0" collapsed="false">
      <c r="A2" s="2" t="s">
        <v>99</v>
      </c>
    </row>
    <row r="3" customFormat="false" ht="15" hidden="false" customHeight="false" outlineLevel="0" collapsed="false">
      <c r="A3" s="2" t="s">
        <v>100</v>
      </c>
    </row>
    <row r="4" customFormat="false" ht="15" hidden="false" customHeight="false" outlineLevel="0" collapsed="false">
      <c r="C4" s="10" t="s">
        <v>101</v>
      </c>
      <c r="E4" s="2" t="s">
        <v>102</v>
      </c>
    </row>
    <row r="5" customFormat="false" ht="15" hidden="false" customHeight="false" outlineLevel="0" collapsed="false">
      <c r="C5" s="3" t="s">
        <v>3</v>
      </c>
      <c r="D5" s="4" t="s">
        <v>4</v>
      </c>
    </row>
    <row r="6" customFormat="false" ht="15" hidden="false" customHeight="false" outlineLevel="0" collapsed="false">
      <c r="C6" s="3" t="s">
        <v>103</v>
      </c>
      <c r="D6" s="4" t="s">
        <v>104</v>
      </c>
    </row>
    <row r="7" customFormat="false" ht="15" hidden="false" customHeight="false" outlineLevel="0" collapsed="false">
      <c r="C7" s="3" t="s">
        <v>105</v>
      </c>
      <c r="D7" s="4" t="s">
        <v>106</v>
      </c>
    </row>
    <row r="8" customFormat="false" ht="15" hidden="false" customHeight="false" outlineLevel="0" collapsed="false">
      <c r="C8" s="3" t="s">
        <v>107</v>
      </c>
      <c r="D8" s="4" t="s">
        <v>108</v>
      </c>
    </row>
    <row r="9" customFormat="false" ht="15" hidden="false" customHeight="false" outlineLevel="0" collapsed="false">
      <c r="C9" s="3" t="s">
        <v>109</v>
      </c>
      <c r="D9" s="5" t="n">
        <v>46054</v>
      </c>
    </row>
    <row r="10" customFormat="false" ht="15" hidden="false" customHeight="false" outlineLevel="0" collapsed="false">
      <c r="C10" s="3" t="s">
        <v>110</v>
      </c>
      <c r="D10" s="5" t="n">
        <v>46068</v>
      </c>
    </row>
    <row r="11" customFormat="false" ht="15" hidden="false" customHeight="false" outlineLevel="0" collapsed="false">
      <c r="C11" s="3" t="s">
        <v>111</v>
      </c>
      <c r="D11" s="5" t="n">
        <v>46121</v>
      </c>
    </row>
    <row r="12" customFormat="false" ht="15" hidden="false" customHeight="false" outlineLevel="0" collapsed="false">
      <c r="C12" s="3" t="s">
        <v>112</v>
      </c>
      <c r="D12" s="24" t="n">
        <f aca="false">COUNTA($A$28:$A$54)</f>
        <v>27</v>
      </c>
    </row>
    <row r="13" customFormat="false" ht="15" hidden="false" customHeight="false" outlineLevel="0" collapsed="false">
      <c r="C13" s="3" t="s">
        <v>113</v>
      </c>
      <c r="D13" s="24" t="n">
        <f aca="false">COUNTIF($K$28:$K$54,"&gt;0")</f>
        <v>11</v>
      </c>
    </row>
    <row r="14" customFormat="false" ht="15" hidden="false" customHeight="false" outlineLevel="0" collapsed="false">
      <c r="C14" s="3" t="s">
        <v>114</v>
      </c>
      <c r="D14" s="24" t="n">
        <f aca="false">COUNTIF($M$28:$M$54,"&lt;&gt;0")</f>
        <v>7</v>
      </c>
    </row>
    <row r="15" customFormat="false" ht="15" hidden="false" customHeight="false" outlineLevel="0" collapsed="false">
      <c r="C15" s="3" t="s">
        <v>115</v>
      </c>
      <c r="D15" s="24" t="n">
        <f aca="false">COUNTIF($N$28:$N$54,"Plan")</f>
        <v>8</v>
      </c>
    </row>
    <row r="16" customFormat="false" ht="15" hidden="false" customHeight="false" outlineLevel="0" collapsed="false">
      <c r="C16" s="3" t="s">
        <v>116</v>
      </c>
      <c r="D16" s="24" t="n">
        <f aca="false">COUNTIF($N$28:$N$54,"Rate card")</f>
        <v>19</v>
      </c>
    </row>
    <row r="17" customFormat="false" ht="15" hidden="false" customHeight="false" outlineLevel="0" collapsed="false">
      <c r="C17" s="3" t="s">
        <v>117</v>
      </c>
      <c r="D17" s="25" t="n">
        <f aca="false">SUMIFS($Q$28:$Q$54,$B$28:$B$54,$E17)</f>
        <v>13211.56</v>
      </c>
      <c r="E17" s="2" t="s">
        <v>118</v>
      </c>
    </row>
    <row r="18" customFormat="false" ht="15" hidden="false" customHeight="false" outlineLevel="0" collapsed="false">
      <c r="C18" s="3" t="s">
        <v>119</v>
      </c>
      <c r="D18" s="25" t="n">
        <f aca="false">SUMIFS($M$28:$M$54,$B$28:$B$54,$E18)</f>
        <v>13211.56</v>
      </c>
      <c r="E18" s="2" t="s">
        <v>118</v>
      </c>
    </row>
    <row r="19" customFormat="false" ht="15" hidden="false" customHeight="false" outlineLevel="0" collapsed="false">
      <c r="C19" s="3" t="s">
        <v>120</v>
      </c>
      <c r="D19" s="25" t="n">
        <f aca="false">SUMIFS($M$28:$M$54,$B$28:$B$54,$E19)</f>
        <v>0</v>
      </c>
      <c r="E19" s="2" t="s">
        <v>121</v>
      </c>
    </row>
    <row r="20" customFormat="false" ht="15" hidden="false" customHeight="false" outlineLevel="0" collapsed="false">
      <c r="C20" s="8" t="s">
        <v>122</v>
      </c>
      <c r="D20" s="26" t="n">
        <f aca="false">D17+D19</f>
        <v>13211.56</v>
      </c>
    </row>
    <row r="21" customFormat="false" ht="15" hidden="false" customHeight="false" outlineLevel="0" collapsed="false">
      <c r="C21" s="8" t="s">
        <v>123</v>
      </c>
      <c r="D21" s="26" t="n">
        <f aca="false">SUM($M$28:$M$54)</f>
        <v>13211.56</v>
      </c>
    </row>
    <row r="22" customFormat="false" ht="15" hidden="false" customHeight="false" outlineLevel="0" collapsed="false">
      <c r="C22" s="3" t="s">
        <v>124</v>
      </c>
      <c r="D22" s="25" t="n">
        <f aca="false">ROUND(D20-D21,2)</f>
        <v>0</v>
      </c>
    </row>
    <row r="23" customFormat="false" ht="15" hidden="false" customHeight="false" outlineLevel="0" collapsed="false">
      <c r="C23" s="3" t="s">
        <v>125</v>
      </c>
      <c r="D23" s="27" t="n">
        <v>13212</v>
      </c>
    </row>
    <row r="24" customFormat="false" ht="15" hidden="false" customHeight="false" outlineLevel="0" collapsed="false">
      <c r="C24" s="3" t="s">
        <v>126</v>
      </c>
      <c r="D24" s="25" t="n">
        <f aca="false">ROUND(D20,0)-D23</f>
        <v>0</v>
      </c>
    </row>
    <row r="26" customFormat="false" ht="15" hidden="false" customHeight="false" outlineLevel="0" collapsed="false">
      <c r="A26" s="10" t="s">
        <v>127</v>
      </c>
    </row>
    <row r="27" customFormat="false" ht="42" hidden="false" customHeight="true" outlineLevel="0" collapsed="false">
      <c r="A27" s="11" t="s">
        <v>26</v>
      </c>
      <c r="B27" s="11" t="s">
        <v>128</v>
      </c>
      <c r="C27" s="11" t="s">
        <v>129</v>
      </c>
      <c r="D27" s="11" t="s">
        <v>130</v>
      </c>
      <c r="E27" s="11" t="s">
        <v>131</v>
      </c>
      <c r="F27" s="11" t="s">
        <v>132</v>
      </c>
      <c r="G27" s="11" t="s">
        <v>29</v>
      </c>
      <c r="H27" s="11" t="s">
        <v>133</v>
      </c>
      <c r="I27" s="11" t="s">
        <v>134</v>
      </c>
      <c r="J27" s="11" t="s">
        <v>135</v>
      </c>
      <c r="K27" s="11" t="s">
        <v>136</v>
      </c>
      <c r="L27" s="11" t="s">
        <v>137</v>
      </c>
      <c r="M27" s="11" t="s">
        <v>138</v>
      </c>
      <c r="N27" s="11" t="s">
        <v>31</v>
      </c>
      <c r="O27" s="11" t="s">
        <v>139</v>
      </c>
      <c r="P27" s="11" t="s">
        <v>140</v>
      </c>
      <c r="Q27" s="11" t="s">
        <v>141</v>
      </c>
      <c r="R27" s="11" t="s">
        <v>124</v>
      </c>
      <c r="S27" s="11" t="s">
        <v>142</v>
      </c>
    </row>
    <row r="28" customFormat="false" ht="15" hidden="false" customHeight="false" outlineLevel="0" collapsed="false">
      <c r="A28" s="28" t="n">
        <v>1</v>
      </c>
      <c r="B28" s="13" t="s">
        <v>118</v>
      </c>
      <c r="C28" s="13" t="s">
        <v>143</v>
      </c>
      <c r="D28" s="13" t="s">
        <v>144</v>
      </c>
      <c r="E28" s="13" t="s">
        <v>144</v>
      </c>
      <c r="F28" s="13" t="s">
        <v>145</v>
      </c>
      <c r="G28" s="13" t="s">
        <v>143</v>
      </c>
      <c r="H28" s="13"/>
      <c r="I28" s="29" t="n">
        <v>46023</v>
      </c>
      <c r="J28" s="29" t="n">
        <v>46054</v>
      </c>
      <c r="K28" s="30" t="n">
        <v>0</v>
      </c>
      <c r="L28" s="16" t="n">
        <v>0</v>
      </c>
      <c r="M28" s="31" t="n">
        <v>0</v>
      </c>
      <c r="N28" s="13" t="s">
        <v>18</v>
      </c>
      <c r="O28" s="32"/>
      <c r="P28" s="14" t="n">
        <f aca="false">INDEX('Rate card D USD'!$E$5:$E$39,MATCH($F28,'Rate card D USD'!$A$5:$A$39,0))</f>
        <v>10.29</v>
      </c>
      <c r="Q28" s="18" t="n">
        <f aca="false">ROUND(K28*P28,2)</f>
        <v>0</v>
      </c>
      <c r="R28" s="18" t="n">
        <f aca="false">Q28-M28</f>
        <v>0</v>
      </c>
      <c r="S28" s="32" t="s">
        <v>146</v>
      </c>
    </row>
    <row r="29" customFormat="false" ht="15" hidden="false" customHeight="false" outlineLevel="0" collapsed="false">
      <c r="A29" s="28" t="n">
        <v>2</v>
      </c>
      <c r="B29" s="13" t="s">
        <v>118</v>
      </c>
      <c r="C29" s="13" t="s">
        <v>72</v>
      </c>
      <c r="D29" s="13" t="s">
        <v>73</v>
      </c>
      <c r="E29" s="13" t="s">
        <v>73</v>
      </c>
      <c r="F29" s="13" t="s">
        <v>147</v>
      </c>
      <c r="G29" s="13" t="s">
        <v>72</v>
      </c>
      <c r="H29" s="13"/>
      <c r="I29" s="29" t="n">
        <v>46023</v>
      </c>
      <c r="J29" s="29" t="n">
        <v>46054</v>
      </c>
      <c r="K29" s="30" t="n">
        <v>8760</v>
      </c>
      <c r="L29" s="16" t="n">
        <v>0</v>
      </c>
      <c r="M29" s="31" t="n">
        <v>0</v>
      </c>
      <c r="N29" s="13" t="s">
        <v>18</v>
      </c>
      <c r="O29" s="32" t="s">
        <v>71</v>
      </c>
      <c r="P29" s="14" t="n">
        <f aca="false">INDEX('Alloy quote'!$I$21:$I$32,MATCH($O29,'Alloy quote'!$A$21:$A$32,0))</f>
        <v>0</v>
      </c>
      <c r="Q29" s="18" t="n">
        <f aca="false">ROUND(K29*P29,2)</f>
        <v>0</v>
      </c>
      <c r="R29" s="18" t="n">
        <f aca="false">Q29-M29</f>
        <v>0</v>
      </c>
      <c r="S29" s="32"/>
    </row>
    <row r="30" customFormat="false" ht="15" hidden="false" customHeight="false" outlineLevel="0" collapsed="false">
      <c r="A30" s="28" t="n">
        <v>3</v>
      </c>
      <c r="B30" s="13" t="s">
        <v>118</v>
      </c>
      <c r="C30" s="13" t="s">
        <v>57</v>
      </c>
      <c r="D30" s="13" t="s">
        <v>58</v>
      </c>
      <c r="E30" s="13" t="s">
        <v>58</v>
      </c>
      <c r="F30" s="13" t="s">
        <v>148</v>
      </c>
      <c r="G30" s="13" t="s">
        <v>57</v>
      </c>
      <c r="H30" s="13"/>
      <c r="I30" s="29" t="n">
        <v>46023</v>
      </c>
      <c r="J30" s="29" t="n">
        <v>46054</v>
      </c>
      <c r="K30" s="30" t="n">
        <v>14278</v>
      </c>
      <c r="L30" s="16" t="n">
        <v>0.25</v>
      </c>
      <c r="M30" s="31" t="n">
        <v>3569.5</v>
      </c>
      <c r="N30" s="13" t="s">
        <v>44</v>
      </c>
      <c r="O30" s="32" t="s">
        <v>56</v>
      </c>
      <c r="P30" s="14" t="n">
        <f aca="false">INDEX('Alloy quote'!$I$21:$I$32,MATCH($O30,'Alloy quote'!$A$21:$A$32,0))</f>
        <v>0.25</v>
      </c>
      <c r="Q30" s="18" t="n">
        <f aca="false">ROUND(K30*P30,2)</f>
        <v>3569.5</v>
      </c>
      <c r="R30" s="18" t="n">
        <f aca="false">Q30-M30</f>
        <v>0</v>
      </c>
      <c r="S30" s="32"/>
    </row>
    <row r="31" customFormat="false" ht="15" hidden="false" customHeight="false" outlineLevel="0" collapsed="false">
      <c r="A31" s="28" t="n">
        <v>4</v>
      </c>
      <c r="B31" s="13" t="s">
        <v>118</v>
      </c>
      <c r="C31" s="13" t="s">
        <v>78</v>
      </c>
      <c r="D31" s="13" t="s">
        <v>79</v>
      </c>
      <c r="E31" s="13" t="s">
        <v>79</v>
      </c>
      <c r="F31" s="13" t="s">
        <v>149</v>
      </c>
      <c r="G31" s="13" t="s">
        <v>78</v>
      </c>
      <c r="H31" s="13"/>
      <c r="I31" s="29" t="n">
        <v>46023</v>
      </c>
      <c r="J31" s="29" t="n">
        <v>46054</v>
      </c>
      <c r="K31" s="30" t="n">
        <v>32568</v>
      </c>
      <c r="L31" s="16" t="n">
        <v>0</v>
      </c>
      <c r="M31" s="31" t="n">
        <v>0</v>
      </c>
      <c r="N31" s="13" t="s">
        <v>18</v>
      </c>
      <c r="O31" s="32" t="s">
        <v>77</v>
      </c>
      <c r="P31" s="14" t="n">
        <f aca="false">INDEX('Alloy quote'!$I$21:$I$32,MATCH($O31,'Alloy quote'!$A$21:$A$32,0))</f>
        <v>0</v>
      </c>
      <c r="Q31" s="18" t="n">
        <f aca="false">ROUND(K31*P31,2)</f>
        <v>0</v>
      </c>
      <c r="R31" s="18" t="n">
        <f aca="false">Q31-M31</f>
        <v>0</v>
      </c>
      <c r="S31" s="32"/>
    </row>
    <row r="32" customFormat="false" ht="15" hidden="false" customHeight="false" outlineLevel="0" collapsed="false">
      <c r="A32" s="28" t="n">
        <v>5</v>
      </c>
      <c r="B32" s="13" t="s">
        <v>118</v>
      </c>
      <c r="C32" s="13" t="s">
        <v>150</v>
      </c>
      <c r="D32" s="13" t="s">
        <v>151</v>
      </c>
      <c r="E32" s="13" t="s">
        <v>151</v>
      </c>
      <c r="F32" s="13" t="s">
        <v>152</v>
      </c>
      <c r="G32" s="13" t="s">
        <v>150</v>
      </c>
      <c r="H32" s="13"/>
      <c r="I32" s="29" t="n">
        <v>46023</v>
      </c>
      <c r="J32" s="29" t="n">
        <v>46054</v>
      </c>
      <c r="K32" s="30" t="n">
        <v>0</v>
      </c>
      <c r="L32" s="16" t="n">
        <v>0</v>
      </c>
      <c r="M32" s="31" t="n">
        <v>0</v>
      </c>
      <c r="N32" s="13" t="s">
        <v>18</v>
      </c>
      <c r="O32" s="32"/>
      <c r="P32" s="14" t="n">
        <f aca="false">INDEX('Rate card D USD'!$E$5:$E$39,MATCH($F32,'Rate card D USD'!$A$5:$A$39,0))</f>
        <v>0.42</v>
      </c>
      <c r="Q32" s="18" t="n">
        <f aca="false">ROUND(K32*P32,2)</f>
        <v>0</v>
      </c>
      <c r="R32" s="18" t="n">
        <f aca="false">Q32-M32</f>
        <v>0</v>
      </c>
      <c r="S32" s="32" t="s">
        <v>146</v>
      </c>
    </row>
    <row r="33" customFormat="false" ht="15" hidden="false" customHeight="false" outlineLevel="0" collapsed="false">
      <c r="A33" s="28" t="n">
        <v>6</v>
      </c>
      <c r="B33" s="13" t="s">
        <v>118</v>
      </c>
      <c r="C33" s="13" t="s">
        <v>42</v>
      </c>
      <c r="D33" s="13" t="s">
        <v>153</v>
      </c>
      <c r="E33" s="13" t="s">
        <v>153</v>
      </c>
      <c r="F33" s="13" t="s">
        <v>154</v>
      </c>
      <c r="G33" s="13" t="s">
        <v>42</v>
      </c>
      <c r="H33" s="13"/>
      <c r="I33" s="29" t="n">
        <v>46023</v>
      </c>
      <c r="J33" s="29" t="n">
        <v>46054</v>
      </c>
      <c r="K33" s="30" t="n">
        <v>19706</v>
      </c>
      <c r="L33" s="16" t="n">
        <v>0</v>
      </c>
      <c r="M33" s="31" t="n">
        <v>0</v>
      </c>
      <c r="N33" s="13" t="s">
        <v>44</v>
      </c>
      <c r="O33" s="32"/>
      <c r="P33" s="16" t="n">
        <v>0</v>
      </c>
      <c r="Q33" s="18" t="n">
        <f aca="false">ROUND(K33*P33,2)</f>
        <v>0</v>
      </c>
      <c r="R33" s="18" t="n">
        <f aca="false">Q33-M33</f>
        <v>0</v>
      </c>
      <c r="S33" s="32" t="s">
        <v>155</v>
      </c>
    </row>
    <row r="34" customFormat="false" ht="15" hidden="false" customHeight="false" outlineLevel="0" collapsed="false">
      <c r="A34" s="28" t="n">
        <v>7</v>
      </c>
      <c r="B34" s="13" t="s">
        <v>118</v>
      </c>
      <c r="C34" s="13" t="s">
        <v>156</v>
      </c>
      <c r="D34" s="13" t="s">
        <v>157</v>
      </c>
      <c r="E34" s="13" t="s">
        <v>157</v>
      </c>
      <c r="F34" s="13" t="s">
        <v>158</v>
      </c>
      <c r="G34" s="13" t="s">
        <v>156</v>
      </c>
      <c r="H34" s="13"/>
      <c r="I34" s="29" t="n">
        <v>46023</v>
      </c>
      <c r="J34" s="29" t="n">
        <v>46054</v>
      </c>
      <c r="K34" s="30" t="n">
        <v>0</v>
      </c>
      <c r="L34" s="16" t="n">
        <v>0</v>
      </c>
      <c r="M34" s="31" t="n">
        <v>0</v>
      </c>
      <c r="N34" s="13" t="s">
        <v>18</v>
      </c>
      <c r="O34" s="32"/>
      <c r="P34" s="14" t="n">
        <f aca="false">INDEX('Rate card D USD'!$E$5:$E$39,MATCH($F34,'Rate card D USD'!$A$5:$A$39,0))</f>
        <v>1.98</v>
      </c>
      <c r="Q34" s="18" t="n">
        <f aca="false">ROUND(K34*P34,2)</f>
        <v>0</v>
      </c>
      <c r="R34" s="18" t="n">
        <f aca="false">Q34-M34</f>
        <v>0</v>
      </c>
      <c r="S34" s="32" t="s">
        <v>146</v>
      </c>
    </row>
    <row r="35" customFormat="false" ht="15" hidden="false" customHeight="false" outlineLevel="0" collapsed="false">
      <c r="A35" s="28" t="n">
        <v>8</v>
      </c>
      <c r="B35" s="13" t="s">
        <v>118</v>
      </c>
      <c r="C35" s="13" t="s">
        <v>159</v>
      </c>
      <c r="D35" s="13" t="s">
        <v>160</v>
      </c>
      <c r="E35" s="13" t="s">
        <v>160</v>
      </c>
      <c r="F35" s="13" t="s">
        <v>161</v>
      </c>
      <c r="G35" s="13" t="s">
        <v>159</v>
      </c>
      <c r="H35" s="13"/>
      <c r="I35" s="29" t="n">
        <v>46023</v>
      </c>
      <c r="J35" s="29" t="n">
        <v>46054</v>
      </c>
      <c r="K35" s="30" t="n">
        <v>0</v>
      </c>
      <c r="L35" s="16" t="n">
        <v>0</v>
      </c>
      <c r="M35" s="31" t="n">
        <v>0</v>
      </c>
      <c r="N35" s="13" t="s">
        <v>18</v>
      </c>
      <c r="O35" s="32"/>
      <c r="P35" s="14" t="n">
        <f aca="false">INDEX('Rate card D USD'!$E$5:$E$39,MATCH($F35,'Rate card D USD'!$A$5:$A$39,0))</f>
        <v>1.38</v>
      </c>
      <c r="Q35" s="18" t="n">
        <f aca="false">ROUND(K35*P35,2)</f>
        <v>0</v>
      </c>
      <c r="R35" s="18" t="n">
        <f aca="false">Q35-M35</f>
        <v>0</v>
      </c>
      <c r="S35" s="32" t="s">
        <v>146</v>
      </c>
    </row>
    <row r="36" customFormat="false" ht="15" hidden="false" customHeight="false" outlineLevel="0" collapsed="false">
      <c r="A36" s="28" t="n">
        <v>9</v>
      </c>
      <c r="B36" s="13" t="s">
        <v>118</v>
      </c>
      <c r="C36" s="13" t="s">
        <v>162</v>
      </c>
      <c r="D36" s="13" t="s">
        <v>163</v>
      </c>
      <c r="E36" s="13" t="s">
        <v>163</v>
      </c>
      <c r="F36" s="13" t="s">
        <v>164</v>
      </c>
      <c r="G36" s="13" t="s">
        <v>162</v>
      </c>
      <c r="H36" s="13"/>
      <c r="I36" s="29" t="n">
        <v>46023</v>
      </c>
      <c r="J36" s="29" t="n">
        <v>46054</v>
      </c>
      <c r="K36" s="30" t="n">
        <v>0</v>
      </c>
      <c r="L36" s="16" t="n">
        <v>0</v>
      </c>
      <c r="M36" s="31" t="n">
        <v>0</v>
      </c>
      <c r="N36" s="13" t="s">
        <v>18</v>
      </c>
      <c r="O36" s="32"/>
      <c r="P36" s="14" t="n">
        <f aca="false">INDEX('Rate card D USD'!$E$5:$E$39,MATCH($F36,'Rate card D USD'!$A$5:$A$39,0))</f>
        <v>0.49</v>
      </c>
      <c r="Q36" s="18" t="n">
        <f aca="false">ROUND(K36*P36,2)</f>
        <v>0</v>
      </c>
      <c r="R36" s="18" t="n">
        <f aca="false">Q36-M36</f>
        <v>0</v>
      </c>
      <c r="S36" s="32" t="s">
        <v>146</v>
      </c>
    </row>
    <row r="37" customFormat="false" ht="15" hidden="false" customHeight="false" outlineLevel="0" collapsed="false">
      <c r="A37" s="28" t="n">
        <v>10</v>
      </c>
      <c r="B37" s="13" t="s">
        <v>118</v>
      </c>
      <c r="C37" s="13" t="s">
        <v>165</v>
      </c>
      <c r="D37" s="13" t="s">
        <v>166</v>
      </c>
      <c r="E37" s="13" t="s">
        <v>166</v>
      </c>
      <c r="F37" s="13" t="s">
        <v>167</v>
      </c>
      <c r="G37" s="13" t="s">
        <v>165</v>
      </c>
      <c r="H37" s="13"/>
      <c r="I37" s="29" t="n">
        <v>46023</v>
      </c>
      <c r="J37" s="29" t="n">
        <v>46054</v>
      </c>
      <c r="K37" s="30" t="n">
        <v>0</v>
      </c>
      <c r="L37" s="16" t="n">
        <v>0</v>
      </c>
      <c r="M37" s="31" t="n">
        <v>0</v>
      </c>
      <c r="N37" s="13" t="s">
        <v>18</v>
      </c>
      <c r="O37" s="32"/>
      <c r="P37" s="14" t="n">
        <f aca="false">INDEX('Rate card D USD'!$E$5:$E$39,MATCH($F37,'Rate card D USD'!$A$5:$A$39,0))</f>
        <v>0.25</v>
      </c>
      <c r="Q37" s="18" t="n">
        <f aca="false">ROUND(K37*P37,2)</f>
        <v>0</v>
      </c>
      <c r="R37" s="18" t="n">
        <f aca="false">Q37-M37</f>
        <v>0</v>
      </c>
      <c r="S37" s="32" t="s">
        <v>146</v>
      </c>
    </row>
    <row r="38" customFormat="false" ht="15" hidden="false" customHeight="false" outlineLevel="0" collapsed="false">
      <c r="A38" s="28" t="n">
        <v>11</v>
      </c>
      <c r="B38" s="13" t="s">
        <v>118</v>
      </c>
      <c r="C38" s="13" t="s">
        <v>168</v>
      </c>
      <c r="D38" s="13" t="s">
        <v>169</v>
      </c>
      <c r="E38" s="13" t="s">
        <v>169</v>
      </c>
      <c r="F38" s="13" t="s">
        <v>170</v>
      </c>
      <c r="G38" s="13" t="s">
        <v>168</v>
      </c>
      <c r="H38" s="13"/>
      <c r="I38" s="29" t="n">
        <v>46023</v>
      </c>
      <c r="J38" s="29" t="n">
        <v>46054</v>
      </c>
      <c r="K38" s="30" t="n">
        <v>0</v>
      </c>
      <c r="L38" s="16" t="n">
        <v>0</v>
      </c>
      <c r="M38" s="31" t="n">
        <v>0</v>
      </c>
      <c r="N38" s="13" t="s">
        <v>18</v>
      </c>
      <c r="O38" s="32"/>
      <c r="P38" s="14" t="n">
        <f aca="false">INDEX('Rate card D USD'!$E$5:$E$39,MATCH($F38,'Rate card D USD'!$A$5:$A$39,0))</f>
        <v>1.36</v>
      </c>
      <c r="Q38" s="18" t="n">
        <f aca="false">ROUND(K38*P38,2)</f>
        <v>0</v>
      </c>
      <c r="R38" s="18" t="n">
        <f aca="false">Q38-M38</f>
        <v>0</v>
      </c>
      <c r="S38" s="32" t="s">
        <v>146</v>
      </c>
    </row>
    <row r="39" customFormat="false" ht="15" hidden="false" customHeight="false" outlineLevel="0" collapsed="false">
      <c r="A39" s="28" t="n">
        <v>12</v>
      </c>
      <c r="B39" s="13" t="s">
        <v>118</v>
      </c>
      <c r="C39" s="13" t="s">
        <v>54</v>
      </c>
      <c r="D39" s="13" t="s">
        <v>55</v>
      </c>
      <c r="E39" s="13" t="s">
        <v>55</v>
      </c>
      <c r="F39" s="13" t="s">
        <v>171</v>
      </c>
      <c r="G39" s="13" t="s">
        <v>54</v>
      </c>
      <c r="H39" s="13"/>
      <c r="I39" s="29" t="n">
        <v>46023</v>
      </c>
      <c r="J39" s="29" t="n">
        <v>46054</v>
      </c>
      <c r="K39" s="30" t="n">
        <v>1</v>
      </c>
      <c r="L39" s="16" t="n">
        <v>2.78</v>
      </c>
      <c r="M39" s="31" t="n">
        <v>2.78</v>
      </c>
      <c r="N39" s="13" t="s">
        <v>18</v>
      </c>
      <c r="O39" s="32" t="s">
        <v>53</v>
      </c>
      <c r="P39" s="14" t="n">
        <f aca="false">INDEX('Alloy quote'!$I$21:$I$32,MATCH($O39,'Alloy quote'!$A$21:$A$32,0))</f>
        <v>2.78</v>
      </c>
      <c r="Q39" s="18" t="n">
        <f aca="false">ROUND(K39*P39,2)</f>
        <v>2.78</v>
      </c>
      <c r="R39" s="18" t="n">
        <f aca="false">Q39-M39</f>
        <v>0</v>
      </c>
      <c r="S39" s="32"/>
    </row>
    <row r="40" customFormat="false" ht="15" hidden="false" customHeight="false" outlineLevel="0" collapsed="false">
      <c r="A40" s="28" t="n">
        <v>13</v>
      </c>
      <c r="B40" s="13" t="s">
        <v>118</v>
      </c>
      <c r="C40" s="13" t="s">
        <v>172</v>
      </c>
      <c r="D40" s="13" t="s">
        <v>173</v>
      </c>
      <c r="E40" s="13" t="s">
        <v>173</v>
      </c>
      <c r="F40" s="13" t="s">
        <v>174</v>
      </c>
      <c r="G40" s="13" t="s">
        <v>172</v>
      </c>
      <c r="H40" s="13"/>
      <c r="I40" s="29" t="n">
        <v>46023</v>
      </c>
      <c r="J40" s="29" t="n">
        <v>46054</v>
      </c>
      <c r="K40" s="30" t="n">
        <v>0</v>
      </c>
      <c r="L40" s="16" t="n">
        <v>0</v>
      </c>
      <c r="M40" s="31" t="n">
        <v>0</v>
      </c>
      <c r="N40" s="13" t="s">
        <v>18</v>
      </c>
      <c r="O40" s="32"/>
      <c r="P40" s="14" t="n">
        <f aca="false">INDEX('Rate card D USD'!$E$5:$E$39,MATCH($F40,'Rate card D USD'!$A$5:$A$39,0))</f>
        <v>5.97</v>
      </c>
      <c r="Q40" s="18" t="n">
        <f aca="false">ROUND(K40*P40,2)</f>
        <v>0</v>
      </c>
      <c r="R40" s="18" t="n">
        <f aca="false">Q40-M40</f>
        <v>0</v>
      </c>
      <c r="S40" s="32" t="s">
        <v>146</v>
      </c>
    </row>
    <row r="41" customFormat="false" ht="15" hidden="false" customHeight="false" outlineLevel="0" collapsed="false">
      <c r="A41" s="28" t="n">
        <v>14</v>
      </c>
      <c r="B41" s="13" t="s">
        <v>118</v>
      </c>
      <c r="C41" s="13" t="s">
        <v>175</v>
      </c>
      <c r="D41" s="13" t="s">
        <v>176</v>
      </c>
      <c r="E41" s="13" t="s">
        <v>176</v>
      </c>
      <c r="F41" s="13" t="s">
        <v>177</v>
      </c>
      <c r="G41" s="13" t="s">
        <v>175</v>
      </c>
      <c r="H41" s="13"/>
      <c r="I41" s="29" t="n">
        <v>46023</v>
      </c>
      <c r="J41" s="29" t="n">
        <v>46054</v>
      </c>
      <c r="K41" s="30" t="n">
        <v>0</v>
      </c>
      <c r="L41" s="16" t="n">
        <v>0</v>
      </c>
      <c r="M41" s="31" t="n">
        <v>0</v>
      </c>
      <c r="N41" s="13" t="s">
        <v>18</v>
      </c>
      <c r="O41" s="32"/>
      <c r="P41" s="14" t="n">
        <f aca="false">INDEX('Rate card D USD'!$E$5:$E$39,MATCH($F41,'Rate card D USD'!$A$5:$A$39,0))</f>
        <v>2.05</v>
      </c>
      <c r="Q41" s="18" t="n">
        <f aca="false">ROUND(K41*P41,2)</f>
        <v>0</v>
      </c>
      <c r="R41" s="18" t="n">
        <f aca="false">Q41-M41</f>
        <v>0</v>
      </c>
      <c r="S41" s="32" t="s">
        <v>146</v>
      </c>
    </row>
    <row r="42" customFormat="false" ht="15" hidden="false" customHeight="false" outlineLevel="0" collapsed="false">
      <c r="A42" s="28" t="n">
        <v>15</v>
      </c>
      <c r="B42" s="13" t="s">
        <v>118</v>
      </c>
      <c r="C42" s="13" t="s">
        <v>178</v>
      </c>
      <c r="D42" s="13" t="s">
        <v>179</v>
      </c>
      <c r="E42" s="13" t="s">
        <v>179</v>
      </c>
      <c r="F42" s="13" t="s">
        <v>180</v>
      </c>
      <c r="G42" s="13" t="s">
        <v>178</v>
      </c>
      <c r="H42" s="13"/>
      <c r="I42" s="29" t="n">
        <v>46023</v>
      </c>
      <c r="J42" s="29" t="n">
        <v>46054</v>
      </c>
      <c r="K42" s="30" t="n">
        <v>0</v>
      </c>
      <c r="L42" s="16" t="n">
        <v>0</v>
      </c>
      <c r="M42" s="31" t="n">
        <v>0</v>
      </c>
      <c r="N42" s="13" t="s">
        <v>18</v>
      </c>
      <c r="O42" s="32"/>
      <c r="P42" s="14" t="n">
        <f aca="false">INDEX('Rate card D USD'!$E$5:$E$39,MATCH($F42,'Rate card D USD'!$A$5:$A$39,0))</f>
        <v>0.49</v>
      </c>
      <c r="Q42" s="18" t="n">
        <f aca="false">ROUND(K42*P42,2)</f>
        <v>0</v>
      </c>
      <c r="R42" s="18" t="n">
        <f aca="false">Q42-M42</f>
        <v>0</v>
      </c>
      <c r="S42" s="32" t="s">
        <v>146</v>
      </c>
    </row>
    <row r="43" customFormat="false" ht="15" hidden="false" customHeight="false" outlineLevel="0" collapsed="false">
      <c r="A43" s="28" t="n">
        <v>16</v>
      </c>
      <c r="B43" s="13" t="s">
        <v>118</v>
      </c>
      <c r="C43" s="13" t="s">
        <v>75</v>
      </c>
      <c r="D43" s="13" t="s">
        <v>76</v>
      </c>
      <c r="E43" s="13" t="s">
        <v>76</v>
      </c>
      <c r="F43" s="13" t="s">
        <v>181</v>
      </c>
      <c r="G43" s="13" t="s">
        <v>75</v>
      </c>
      <c r="H43" s="13"/>
      <c r="I43" s="29" t="n">
        <v>46023</v>
      </c>
      <c r="J43" s="29" t="n">
        <v>46054</v>
      </c>
      <c r="K43" s="30" t="n">
        <v>9148</v>
      </c>
      <c r="L43" s="16" t="n">
        <v>0</v>
      </c>
      <c r="M43" s="31" t="n">
        <v>0</v>
      </c>
      <c r="N43" s="13" t="s">
        <v>18</v>
      </c>
      <c r="O43" s="32" t="s">
        <v>74</v>
      </c>
      <c r="P43" s="14" t="n">
        <f aca="false">INDEX('Alloy quote'!$I$21:$I$32,MATCH($O43,'Alloy quote'!$A$21:$A$32,0))</f>
        <v>0</v>
      </c>
      <c r="Q43" s="18" t="n">
        <f aca="false">ROUND(K43*P43,2)</f>
        <v>0</v>
      </c>
      <c r="R43" s="18" t="n">
        <f aca="false">Q43-M43</f>
        <v>0</v>
      </c>
      <c r="S43" s="32"/>
    </row>
    <row r="44" customFormat="false" ht="15" hidden="false" customHeight="false" outlineLevel="0" collapsed="false">
      <c r="A44" s="28" t="n">
        <v>17</v>
      </c>
      <c r="B44" s="13" t="s">
        <v>118</v>
      </c>
      <c r="C44" s="13" t="s">
        <v>60</v>
      </c>
      <c r="D44" s="13" t="s">
        <v>61</v>
      </c>
      <c r="E44" s="13" t="s">
        <v>61</v>
      </c>
      <c r="F44" s="13" t="s">
        <v>182</v>
      </c>
      <c r="G44" s="13" t="s">
        <v>60</v>
      </c>
      <c r="H44" s="13"/>
      <c r="I44" s="29" t="n">
        <v>46023</v>
      </c>
      <c r="J44" s="29" t="n">
        <v>46054</v>
      </c>
      <c r="K44" s="30" t="n">
        <v>0</v>
      </c>
      <c r="L44" s="16" t="n">
        <v>0</v>
      </c>
      <c r="M44" s="31" t="n">
        <v>0</v>
      </c>
      <c r="N44" s="13" t="s">
        <v>44</v>
      </c>
      <c r="O44" s="32" t="s">
        <v>59</v>
      </c>
      <c r="P44" s="14" t="n">
        <f aca="false">INDEX('Alloy quote'!$I$21:$I$32,MATCH($O44,'Alloy quote'!$A$21:$A$32,0))</f>
        <v>0.25</v>
      </c>
      <c r="Q44" s="18" t="n">
        <f aca="false">ROUND(K44*P44,2)</f>
        <v>0</v>
      </c>
      <c r="R44" s="18" t="n">
        <f aca="false">Q44-M44</f>
        <v>0</v>
      </c>
      <c r="S44" s="32" t="s">
        <v>183</v>
      </c>
    </row>
    <row r="45" customFormat="false" ht="15" hidden="false" customHeight="false" outlineLevel="0" collapsed="false">
      <c r="A45" s="28" t="n">
        <v>18</v>
      </c>
      <c r="B45" s="13" t="s">
        <v>118</v>
      </c>
      <c r="C45" s="13" t="s">
        <v>184</v>
      </c>
      <c r="D45" s="13" t="s">
        <v>185</v>
      </c>
      <c r="E45" s="13" t="s">
        <v>185</v>
      </c>
      <c r="F45" s="13" t="s">
        <v>184</v>
      </c>
      <c r="G45" s="13" t="s">
        <v>184</v>
      </c>
      <c r="H45" s="13"/>
      <c r="I45" s="29" t="n">
        <v>46023</v>
      </c>
      <c r="J45" s="29" t="n">
        <v>46054</v>
      </c>
      <c r="K45" s="30" t="n">
        <v>0</v>
      </c>
      <c r="L45" s="16" t="n">
        <v>0</v>
      </c>
      <c r="M45" s="31" t="n">
        <v>0</v>
      </c>
      <c r="N45" s="13" t="s">
        <v>18</v>
      </c>
      <c r="O45" s="32"/>
      <c r="P45" s="14" t="n">
        <f aca="false">INDEX('Rate card D USD'!$E$5:$E$39,MATCH($F45,'Rate card D USD'!$A$5:$A$39,0))</f>
        <v>0.4</v>
      </c>
      <c r="Q45" s="18" t="n">
        <f aca="false">ROUND(K45*P45,2)</f>
        <v>0</v>
      </c>
      <c r="R45" s="18" t="n">
        <f aca="false">Q45-M45</f>
        <v>0</v>
      </c>
      <c r="S45" s="32" t="s">
        <v>146</v>
      </c>
    </row>
    <row r="46" customFormat="false" ht="15" hidden="false" customHeight="false" outlineLevel="0" collapsed="false">
      <c r="A46" s="28" t="n">
        <v>19</v>
      </c>
      <c r="B46" s="13" t="s">
        <v>118</v>
      </c>
      <c r="C46" s="13" t="s">
        <v>50</v>
      </c>
      <c r="D46" s="13" t="s">
        <v>51</v>
      </c>
      <c r="E46" s="13" t="s">
        <v>51</v>
      </c>
      <c r="F46" s="13" t="s">
        <v>186</v>
      </c>
      <c r="G46" s="13" t="s">
        <v>50</v>
      </c>
      <c r="H46" s="13"/>
      <c r="I46" s="29" t="n">
        <v>46023</v>
      </c>
      <c r="J46" s="29" t="n">
        <v>46054</v>
      </c>
      <c r="K46" s="30" t="n">
        <v>19</v>
      </c>
      <c r="L46" s="16" t="n">
        <v>0.54</v>
      </c>
      <c r="M46" s="31" t="n">
        <v>10.26</v>
      </c>
      <c r="N46" s="13" t="s">
        <v>18</v>
      </c>
      <c r="O46" s="32" t="s">
        <v>49</v>
      </c>
      <c r="P46" s="14" t="n">
        <f aca="false">INDEX('Alloy quote'!$I$21:$I$32,MATCH($O46,'Alloy quote'!$A$21:$A$32,0))</f>
        <v>0.54</v>
      </c>
      <c r="Q46" s="18" t="n">
        <f aca="false">ROUND(K46*P46,2)</f>
        <v>10.26</v>
      </c>
      <c r="R46" s="18" t="n">
        <f aca="false">Q46-M46</f>
        <v>0</v>
      </c>
      <c r="S46" s="32"/>
    </row>
    <row r="47" customFormat="false" ht="15" hidden="false" customHeight="false" outlineLevel="0" collapsed="false">
      <c r="A47" s="28" t="n">
        <v>20</v>
      </c>
      <c r="B47" s="13" t="s">
        <v>118</v>
      </c>
      <c r="C47" s="13" t="s">
        <v>63</v>
      </c>
      <c r="D47" s="13" t="s">
        <v>64</v>
      </c>
      <c r="E47" s="13" t="s">
        <v>64</v>
      </c>
      <c r="F47" s="13" t="s">
        <v>187</v>
      </c>
      <c r="G47" s="13" t="s">
        <v>63</v>
      </c>
      <c r="H47" s="13"/>
      <c r="I47" s="29" t="n">
        <v>46023</v>
      </c>
      <c r="J47" s="29" t="n">
        <v>46054</v>
      </c>
      <c r="K47" s="30" t="n">
        <v>2119</v>
      </c>
      <c r="L47" s="16" t="n">
        <v>0.3</v>
      </c>
      <c r="M47" s="31" t="n">
        <v>635.7</v>
      </c>
      <c r="N47" s="13" t="s">
        <v>44</v>
      </c>
      <c r="O47" s="32" t="s">
        <v>62</v>
      </c>
      <c r="P47" s="14" t="n">
        <f aca="false">INDEX('Alloy quote'!$I$21:$I$32,MATCH($O47,'Alloy quote'!$A$21:$A$32,0))</f>
        <v>0.3</v>
      </c>
      <c r="Q47" s="18" t="n">
        <f aca="false">ROUND(K47*P47,2)</f>
        <v>635.7</v>
      </c>
      <c r="R47" s="18" t="n">
        <f aca="false">Q47-M47</f>
        <v>0</v>
      </c>
      <c r="S47" s="32"/>
    </row>
    <row r="48" customFormat="false" ht="15" hidden="false" customHeight="false" outlineLevel="0" collapsed="false">
      <c r="A48" s="28" t="n">
        <v>21</v>
      </c>
      <c r="B48" s="13" t="s">
        <v>118</v>
      </c>
      <c r="C48" s="13" t="s">
        <v>188</v>
      </c>
      <c r="D48" s="13" t="s">
        <v>189</v>
      </c>
      <c r="E48" s="13" t="s">
        <v>189</v>
      </c>
      <c r="F48" s="13" t="s">
        <v>190</v>
      </c>
      <c r="G48" s="13" t="s">
        <v>188</v>
      </c>
      <c r="H48" s="13"/>
      <c r="I48" s="29" t="n">
        <v>46023</v>
      </c>
      <c r="J48" s="29" t="n">
        <v>46054</v>
      </c>
      <c r="K48" s="30" t="n">
        <v>0</v>
      </c>
      <c r="L48" s="16" t="n">
        <v>0</v>
      </c>
      <c r="M48" s="31" t="n">
        <v>0</v>
      </c>
      <c r="N48" s="13" t="s">
        <v>18</v>
      </c>
      <c r="O48" s="32"/>
      <c r="P48" s="14" t="n">
        <f aca="false">INDEX('Rate card D USD'!$E$5:$E$39,MATCH($F48,'Rate card D USD'!$A$5:$A$39,0))</f>
        <v>1</v>
      </c>
      <c r="Q48" s="18" t="n">
        <f aca="false">ROUND(K48*P48,2)</f>
        <v>0</v>
      </c>
      <c r="R48" s="18" t="n">
        <f aca="false">Q48-M48</f>
        <v>0</v>
      </c>
      <c r="S48" s="32" t="s">
        <v>146</v>
      </c>
    </row>
    <row r="49" customFormat="false" ht="15" hidden="false" customHeight="false" outlineLevel="0" collapsed="false">
      <c r="A49" s="28" t="n">
        <v>22</v>
      </c>
      <c r="B49" s="13" t="s">
        <v>118</v>
      </c>
      <c r="C49" s="13" t="s">
        <v>191</v>
      </c>
      <c r="D49" s="13" t="s">
        <v>192</v>
      </c>
      <c r="E49" s="13" t="s">
        <v>192</v>
      </c>
      <c r="F49" s="13" t="s">
        <v>193</v>
      </c>
      <c r="G49" s="13" t="s">
        <v>191</v>
      </c>
      <c r="H49" s="13"/>
      <c r="I49" s="29" t="n">
        <v>46023</v>
      </c>
      <c r="J49" s="29" t="n">
        <v>46054</v>
      </c>
      <c r="K49" s="30" t="n">
        <v>0</v>
      </c>
      <c r="L49" s="16" t="n">
        <v>0</v>
      </c>
      <c r="M49" s="31" t="n">
        <v>0</v>
      </c>
      <c r="N49" s="13" t="s">
        <v>18</v>
      </c>
      <c r="O49" s="32"/>
      <c r="P49" s="14" t="n">
        <f aca="false">INDEX('Rate card D USD'!$E$5:$E$39,MATCH($F49,'Rate card D USD'!$A$5:$A$39,0))</f>
        <v>6.53</v>
      </c>
      <c r="Q49" s="18" t="n">
        <f aca="false">ROUND(K49*P49,2)</f>
        <v>0</v>
      </c>
      <c r="R49" s="18" t="n">
        <f aca="false">Q49-M49</f>
        <v>0</v>
      </c>
      <c r="S49" s="32" t="s">
        <v>146</v>
      </c>
    </row>
    <row r="50" customFormat="false" ht="15" hidden="false" customHeight="false" outlineLevel="0" collapsed="false">
      <c r="A50" s="28" t="n">
        <v>23</v>
      </c>
      <c r="B50" s="13" t="s">
        <v>118</v>
      </c>
      <c r="C50" s="13" t="s">
        <v>66</v>
      </c>
      <c r="D50" s="13" t="s">
        <v>67</v>
      </c>
      <c r="E50" s="13" t="s">
        <v>67</v>
      </c>
      <c r="F50" s="13" t="s">
        <v>194</v>
      </c>
      <c r="G50" s="13" t="s">
        <v>66</v>
      </c>
      <c r="H50" s="13"/>
      <c r="I50" s="29" t="n">
        <v>46023</v>
      </c>
      <c r="J50" s="29" t="n">
        <v>46054</v>
      </c>
      <c r="K50" s="30" t="n">
        <v>5</v>
      </c>
      <c r="L50" s="16" t="n">
        <v>1.6</v>
      </c>
      <c r="M50" s="31" t="n">
        <v>8</v>
      </c>
      <c r="N50" s="13" t="s">
        <v>44</v>
      </c>
      <c r="O50" s="32" t="s">
        <v>65</v>
      </c>
      <c r="P50" s="14" t="n">
        <f aca="false">INDEX('Alloy quote'!$I$21:$I$32,MATCH($O50,'Alloy quote'!$A$21:$A$32,0))</f>
        <v>1.6</v>
      </c>
      <c r="Q50" s="18" t="n">
        <f aca="false">ROUND(K50*P50,2)</f>
        <v>8</v>
      </c>
      <c r="R50" s="18" t="n">
        <f aca="false">Q50-M50</f>
        <v>0</v>
      </c>
      <c r="S50" s="32"/>
    </row>
    <row r="51" customFormat="false" ht="15" hidden="false" customHeight="false" outlineLevel="0" collapsed="false">
      <c r="A51" s="28" t="n">
        <v>24</v>
      </c>
      <c r="B51" s="13" t="s">
        <v>118</v>
      </c>
      <c r="C51" s="13" t="s">
        <v>40</v>
      </c>
      <c r="D51" s="13" t="s">
        <v>41</v>
      </c>
      <c r="E51" s="13" t="s">
        <v>195</v>
      </c>
      <c r="F51" s="13" t="s">
        <v>196</v>
      </c>
      <c r="G51" s="13" t="s">
        <v>42</v>
      </c>
      <c r="H51" s="13" t="s">
        <v>43</v>
      </c>
      <c r="I51" s="29" t="n">
        <v>46023</v>
      </c>
      <c r="J51" s="29" t="n">
        <v>46054</v>
      </c>
      <c r="K51" s="30" t="n">
        <v>15767</v>
      </c>
      <c r="L51" s="16" t="n">
        <v>0.4</v>
      </c>
      <c r="M51" s="31" t="n">
        <v>6306.8</v>
      </c>
      <c r="N51" s="13" t="s">
        <v>44</v>
      </c>
      <c r="O51" s="32" t="s">
        <v>39</v>
      </c>
      <c r="P51" s="14" t="n">
        <f aca="false">INDEX('Alloy quote'!$I$21:$I$32,MATCH($O51,'Alloy quote'!$A$21:$A$32,0))</f>
        <v>0.4</v>
      </c>
      <c r="Q51" s="18" t="n">
        <f aca="false">ROUND(K51*P51,2)</f>
        <v>6306.8</v>
      </c>
      <c r="R51" s="18" t="n">
        <f aca="false">Q51-M51</f>
        <v>0</v>
      </c>
      <c r="S51" s="32"/>
    </row>
    <row r="52" customFormat="false" ht="15" hidden="false" customHeight="false" outlineLevel="0" collapsed="false">
      <c r="A52" s="28" t="n">
        <v>25</v>
      </c>
      <c r="B52" s="13" t="s">
        <v>118</v>
      </c>
      <c r="C52" s="13" t="s">
        <v>46</v>
      </c>
      <c r="D52" s="13" t="s">
        <v>47</v>
      </c>
      <c r="E52" s="13" t="s">
        <v>197</v>
      </c>
      <c r="F52" s="13" t="s">
        <v>196</v>
      </c>
      <c r="G52" s="13" t="s">
        <v>42</v>
      </c>
      <c r="H52" s="13" t="s">
        <v>198</v>
      </c>
      <c r="I52" s="29" t="n">
        <v>46023</v>
      </c>
      <c r="J52" s="29" t="n">
        <v>46054</v>
      </c>
      <c r="K52" s="30" t="n">
        <v>3939</v>
      </c>
      <c r="L52" s="16" t="n">
        <v>0.68</v>
      </c>
      <c r="M52" s="31" t="n">
        <v>2678.52</v>
      </c>
      <c r="N52" s="13" t="s">
        <v>44</v>
      </c>
      <c r="O52" s="32" t="s">
        <v>45</v>
      </c>
      <c r="P52" s="14" t="n">
        <f aca="false">INDEX('Alloy quote'!$I$21:$I$32,MATCH($O52,'Alloy quote'!$A$21:$A$32,0))</f>
        <v>0.68</v>
      </c>
      <c r="Q52" s="18" t="n">
        <f aca="false">ROUND(K52*P52,2)</f>
        <v>2678.52</v>
      </c>
      <c r="R52" s="18" t="n">
        <f aca="false">Q52-M52</f>
        <v>0</v>
      </c>
      <c r="S52" s="32" t="s">
        <v>199</v>
      </c>
    </row>
    <row r="53" customFormat="false" ht="15" hidden="false" customHeight="false" outlineLevel="0" collapsed="false">
      <c r="A53" s="28" t="n">
        <v>26</v>
      </c>
      <c r="B53" s="13" t="s">
        <v>118</v>
      </c>
      <c r="C53" s="13" t="s">
        <v>69</v>
      </c>
      <c r="D53" s="13" t="s">
        <v>70</v>
      </c>
      <c r="E53" s="13" t="s">
        <v>70</v>
      </c>
      <c r="F53" s="13" t="s">
        <v>200</v>
      </c>
      <c r="G53" s="13" t="s">
        <v>69</v>
      </c>
      <c r="H53" s="13"/>
      <c r="I53" s="29" t="n">
        <v>46023</v>
      </c>
      <c r="J53" s="29" t="n">
        <v>46054</v>
      </c>
      <c r="K53" s="30" t="n">
        <v>0</v>
      </c>
      <c r="L53" s="16" t="n">
        <v>0</v>
      </c>
      <c r="M53" s="31" t="n">
        <v>0</v>
      </c>
      <c r="N53" s="13" t="s">
        <v>44</v>
      </c>
      <c r="O53" s="32" t="s">
        <v>68</v>
      </c>
      <c r="P53" s="14" t="n">
        <f aca="false">INDEX('Alloy quote'!$I$21:$I$32,MATCH($O53,'Alloy quote'!$A$21:$A$32,0))</f>
        <v>0.12</v>
      </c>
      <c r="Q53" s="18" t="n">
        <f aca="false">ROUND(K53*P53,2)</f>
        <v>0</v>
      </c>
      <c r="R53" s="18" t="n">
        <f aca="false">Q53-M53</f>
        <v>0</v>
      </c>
      <c r="S53" s="32" t="s">
        <v>183</v>
      </c>
    </row>
    <row r="54" customFormat="false" ht="15" hidden="false" customHeight="false" outlineLevel="0" collapsed="false">
      <c r="A54" s="28" t="n">
        <v>27</v>
      </c>
      <c r="B54" s="13" t="s">
        <v>118</v>
      </c>
      <c r="C54" s="13" t="s">
        <v>201</v>
      </c>
      <c r="D54" s="13" t="s">
        <v>202</v>
      </c>
      <c r="E54" s="13" t="s">
        <v>202</v>
      </c>
      <c r="F54" s="13" t="s">
        <v>203</v>
      </c>
      <c r="G54" s="13" t="s">
        <v>201</v>
      </c>
      <c r="H54" s="13"/>
      <c r="I54" s="29" t="n">
        <v>46023</v>
      </c>
      <c r="J54" s="29" t="n">
        <v>46054</v>
      </c>
      <c r="K54" s="30" t="n">
        <v>0</v>
      </c>
      <c r="L54" s="16" t="n">
        <v>0</v>
      </c>
      <c r="M54" s="31" t="n">
        <v>0</v>
      </c>
      <c r="N54" s="13" t="s">
        <v>18</v>
      </c>
      <c r="O54" s="32"/>
      <c r="P54" s="14" t="n">
        <f aca="false">INDEX('Rate card D USD'!$E$5:$E$39,MATCH($F54,'Rate card D USD'!$A$5:$A$39,0))</f>
        <v>1.59</v>
      </c>
      <c r="Q54" s="18" t="n">
        <f aca="false">ROUND(K54*P54,2)</f>
        <v>0</v>
      </c>
      <c r="R54" s="18" t="n">
        <f aca="false">Q54-M54</f>
        <v>0</v>
      </c>
      <c r="S54" s="32" t="s">
        <v>146</v>
      </c>
    </row>
    <row r="56" customFormat="false" ht="15" hidden="false" customHeight="false" outlineLevel="0" collapsed="false">
      <c r="A56" s="10" t="s">
        <v>84</v>
      </c>
    </row>
    <row r="57" customFormat="false" ht="15" hidden="false" customHeight="false" outlineLevel="0" collapsed="false">
      <c r="A57" s="22" t="s">
        <v>204</v>
      </c>
    </row>
    <row r="58" customFormat="false" ht="15" hidden="false" customHeight="false" outlineLevel="0" collapsed="false">
      <c r="A58" s="22" t="s">
        <v>205</v>
      </c>
    </row>
    <row r="59" customFormat="false" ht="15" hidden="false" customHeight="false" outlineLevel="0" collapsed="false">
      <c r="A59" s="22" t="s">
        <v>206</v>
      </c>
    </row>
    <row r="60" customFormat="false" ht="15" hidden="false" customHeight="false" outlineLevel="0" collapsed="false">
      <c r="A60" s="22" t="s">
        <v>207</v>
      </c>
    </row>
    <row r="61" customFormat="false" ht="15" hidden="false" customHeight="false" outlineLevel="0" collapsed="false">
      <c r="A61" s="22" t="s">
        <v>208</v>
      </c>
    </row>
  </sheetData>
  <autoFilter ref="A27:S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48"/>
    <col collapsed="false" customWidth="true" hidden="false" outlineLevel="0" max="3" min="3" style="0" width="58"/>
    <col collapsed="false" customWidth="true" hidden="false" outlineLevel="0" max="4" min="4" style="0" width="16"/>
    <col collapsed="false" customWidth="true" hidden="false" outlineLevel="0" max="6" min="5" style="0" width="14"/>
  </cols>
  <sheetData>
    <row r="1" customFormat="false" ht="17.35" hidden="false" customHeight="false" outlineLevel="0" collapsed="false">
      <c r="A1" s="1" t="s">
        <v>209</v>
      </c>
    </row>
    <row r="2" customFormat="false" ht="15" hidden="false" customHeight="false" outlineLevel="0" collapsed="false">
      <c r="A2" s="2" t="s">
        <v>210</v>
      </c>
    </row>
    <row r="3" customFormat="false" ht="15" hidden="false" customHeight="false" outlineLevel="0" collapsed="false">
      <c r="A3" s="2" t="s">
        <v>2</v>
      </c>
    </row>
    <row r="4" customFormat="false" ht="42" hidden="false" customHeight="true" outlineLevel="0" collapsed="false">
      <c r="A4" s="11" t="s">
        <v>132</v>
      </c>
      <c r="B4" s="11" t="s">
        <v>28</v>
      </c>
      <c r="C4" s="11" t="s">
        <v>29</v>
      </c>
      <c r="D4" s="11" t="s">
        <v>211</v>
      </c>
      <c r="E4" s="11" t="s">
        <v>32</v>
      </c>
      <c r="F4" s="11" t="s">
        <v>212</v>
      </c>
    </row>
    <row r="5" customFormat="false" ht="15" hidden="false" customHeight="false" outlineLevel="0" collapsed="false">
      <c r="A5" s="13" t="s">
        <v>213</v>
      </c>
      <c r="B5" s="13" t="s">
        <v>214</v>
      </c>
      <c r="C5" s="13" t="s">
        <v>215</v>
      </c>
      <c r="D5" s="13"/>
      <c r="E5" s="16" t="n">
        <v>1.33</v>
      </c>
      <c r="F5" s="17" t="n">
        <f aca="false">COUNTIF('January 2026 bill'!$F$28:$F$54,$A5)</f>
        <v>0</v>
      </c>
    </row>
    <row r="6" customFormat="false" ht="15" hidden="false" customHeight="false" outlineLevel="0" collapsed="false">
      <c r="A6" s="13" t="s">
        <v>181</v>
      </c>
      <c r="B6" s="13" t="s">
        <v>76</v>
      </c>
      <c r="C6" s="13" t="s">
        <v>75</v>
      </c>
      <c r="D6" s="13"/>
      <c r="E6" s="16" t="n">
        <v>0</v>
      </c>
      <c r="F6" s="17" t="n">
        <f aca="false">COUNTIF('January 2026 bill'!$F$28:$F$54,$A6)</f>
        <v>1</v>
      </c>
    </row>
    <row r="7" customFormat="false" ht="15" hidden="false" customHeight="false" outlineLevel="0" collapsed="false">
      <c r="A7" s="13" t="s">
        <v>149</v>
      </c>
      <c r="B7" s="13" t="s">
        <v>79</v>
      </c>
      <c r="C7" s="13" t="s">
        <v>78</v>
      </c>
      <c r="D7" s="13"/>
      <c r="E7" s="16" t="n">
        <v>0</v>
      </c>
      <c r="F7" s="17" t="n">
        <f aca="false">COUNTIF('January 2026 bill'!$F$28:$F$54,$A7)</f>
        <v>1</v>
      </c>
    </row>
    <row r="8" customFormat="false" ht="15" hidden="false" customHeight="false" outlineLevel="0" collapsed="false">
      <c r="A8" s="13" t="s">
        <v>216</v>
      </c>
      <c r="B8" s="13" t="s">
        <v>217</v>
      </c>
      <c r="C8" s="13" t="s">
        <v>218</v>
      </c>
      <c r="D8" s="13"/>
      <c r="E8" s="16" t="n">
        <v>1.59</v>
      </c>
      <c r="F8" s="17" t="n">
        <f aca="false">COUNTIF('January 2026 bill'!$F$28:$F$54,$A8)</f>
        <v>0</v>
      </c>
    </row>
    <row r="9" customFormat="false" ht="15" hidden="false" customHeight="false" outlineLevel="0" collapsed="false">
      <c r="A9" s="13" t="s">
        <v>186</v>
      </c>
      <c r="B9" s="13" t="s">
        <v>51</v>
      </c>
      <c r="C9" s="13" t="s">
        <v>50</v>
      </c>
      <c r="D9" s="13"/>
      <c r="E9" s="16" t="n">
        <v>0.54</v>
      </c>
      <c r="F9" s="17" t="n">
        <f aca="false">COUNTIF('January 2026 bill'!$F$28:$F$54,$A9)</f>
        <v>1</v>
      </c>
    </row>
    <row r="10" customFormat="false" ht="15" hidden="false" customHeight="false" outlineLevel="0" collapsed="false">
      <c r="A10" s="13" t="s">
        <v>154</v>
      </c>
      <c r="B10" s="13" t="s">
        <v>153</v>
      </c>
      <c r="C10" s="13" t="s">
        <v>42</v>
      </c>
      <c r="D10" s="13"/>
      <c r="E10" s="16" t="n">
        <v>1.59</v>
      </c>
      <c r="F10" s="17" t="n">
        <f aca="false">COUNTIF('January 2026 bill'!$F$28:$F$54,$A10)</f>
        <v>1</v>
      </c>
    </row>
    <row r="11" customFormat="false" ht="15" hidden="false" customHeight="false" outlineLevel="0" collapsed="false">
      <c r="A11" s="13" t="s">
        <v>171</v>
      </c>
      <c r="B11" s="13" t="s">
        <v>55</v>
      </c>
      <c r="C11" s="13" t="s">
        <v>54</v>
      </c>
      <c r="D11" s="13"/>
      <c r="E11" s="16" t="n">
        <v>2.78</v>
      </c>
      <c r="F11" s="17" t="n">
        <f aca="false">COUNTIF('January 2026 bill'!$F$28:$F$54,$A11)</f>
        <v>1</v>
      </c>
    </row>
    <row r="12" customFormat="false" ht="15" hidden="false" customHeight="false" outlineLevel="0" collapsed="false">
      <c r="A12" s="13" t="s">
        <v>219</v>
      </c>
      <c r="B12" s="13" t="s">
        <v>220</v>
      </c>
      <c r="C12" s="13" t="s">
        <v>221</v>
      </c>
      <c r="D12" s="13" t="s">
        <v>222</v>
      </c>
      <c r="E12" s="16" t="n">
        <v>3.72</v>
      </c>
      <c r="F12" s="17" t="n">
        <f aca="false">COUNTIF('January 2026 bill'!$F$28:$F$54,$A12)</f>
        <v>0</v>
      </c>
    </row>
    <row r="13" customFormat="false" ht="15" hidden="false" customHeight="false" outlineLevel="0" collapsed="false">
      <c r="A13" s="13" t="s">
        <v>219</v>
      </c>
      <c r="B13" s="13" t="s">
        <v>220</v>
      </c>
      <c r="C13" s="13" t="s">
        <v>221</v>
      </c>
      <c r="D13" s="13" t="s">
        <v>223</v>
      </c>
      <c r="E13" s="16" t="n">
        <v>3.72</v>
      </c>
      <c r="F13" s="17" t="n">
        <f aca="false">COUNTIF('January 2026 bill'!$F$28:$F$54,$A13)</f>
        <v>0</v>
      </c>
    </row>
    <row r="14" customFormat="false" ht="15" hidden="false" customHeight="false" outlineLevel="0" collapsed="false">
      <c r="A14" s="13" t="s">
        <v>224</v>
      </c>
      <c r="B14" s="13" t="s">
        <v>225</v>
      </c>
      <c r="C14" s="13" t="s">
        <v>226</v>
      </c>
      <c r="D14" s="13" t="s">
        <v>222</v>
      </c>
      <c r="E14" s="16" t="n">
        <v>4.03</v>
      </c>
      <c r="F14" s="17" t="n">
        <f aca="false">COUNTIF('January 2026 bill'!$F$28:$F$54,$A14)</f>
        <v>0</v>
      </c>
    </row>
    <row r="15" customFormat="false" ht="15" hidden="false" customHeight="false" outlineLevel="0" collapsed="false">
      <c r="A15" s="13" t="s">
        <v>224</v>
      </c>
      <c r="B15" s="13" t="s">
        <v>225</v>
      </c>
      <c r="C15" s="13" t="s">
        <v>226</v>
      </c>
      <c r="D15" s="13" t="s">
        <v>223</v>
      </c>
      <c r="E15" s="16" t="n">
        <v>4.03</v>
      </c>
      <c r="F15" s="17" t="n">
        <f aca="false">COUNTIF('January 2026 bill'!$F$28:$F$54,$A15)</f>
        <v>0</v>
      </c>
    </row>
    <row r="16" customFormat="false" ht="15" hidden="false" customHeight="false" outlineLevel="0" collapsed="false">
      <c r="A16" s="13" t="s">
        <v>177</v>
      </c>
      <c r="B16" s="13" t="s">
        <v>176</v>
      </c>
      <c r="C16" s="13" t="s">
        <v>175</v>
      </c>
      <c r="D16" s="13"/>
      <c r="E16" s="16" t="n">
        <v>2.05</v>
      </c>
      <c r="F16" s="17" t="n">
        <f aca="false">COUNTIF('January 2026 bill'!$F$28:$F$54,$A16)</f>
        <v>1</v>
      </c>
    </row>
    <row r="17" customFormat="false" ht="15" hidden="false" customHeight="false" outlineLevel="0" collapsed="false">
      <c r="A17" s="13" t="s">
        <v>174</v>
      </c>
      <c r="B17" s="13" t="s">
        <v>173</v>
      </c>
      <c r="C17" s="13" t="s">
        <v>172</v>
      </c>
      <c r="D17" s="13"/>
      <c r="E17" s="16" t="n">
        <v>5.97</v>
      </c>
      <c r="F17" s="17" t="n">
        <f aca="false">COUNTIF('January 2026 bill'!$F$28:$F$54,$A17)</f>
        <v>1</v>
      </c>
    </row>
    <row r="18" customFormat="false" ht="15" hidden="false" customHeight="false" outlineLevel="0" collapsed="false">
      <c r="A18" s="13" t="s">
        <v>145</v>
      </c>
      <c r="B18" s="13" t="s">
        <v>144</v>
      </c>
      <c r="C18" s="13" t="s">
        <v>143</v>
      </c>
      <c r="D18" s="13"/>
      <c r="E18" s="16" t="n">
        <v>10.29</v>
      </c>
      <c r="F18" s="17" t="n">
        <f aca="false">COUNTIF('January 2026 bill'!$F$28:$F$54,$A18)</f>
        <v>1</v>
      </c>
    </row>
    <row r="19" customFormat="false" ht="15" hidden="false" customHeight="false" outlineLevel="0" collapsed="false">
      <c r="A19" s="13" t="s">
        <v>187</v>
      </c>
      <c r="B19" s="13" t="s">
        <v>64</v>
      </c>
      <c r="C19" s="13" t="s">
        <v>63</v>
      </c>
      <c r="D19" s="13"/>
      <c r="E19" s="16" t="n">
        <v>1.21</v>
      </c>
      <c r="F19" s="17" t="n">
        <f aca="false">COUNTIF('January 2026 bill'!$F$28:$F$54,$A19)</f>
        <v>1</v>
      </c>
    </row>
    <row r="20" customFormat="false" ht="15" hidden="false" customHeight="false" outlineLevel="0" collapsed="false">
      <c r="A20" s="13" t="s">
        <v>182</v>
      </c>
      <c r="B20" s="13" t="s">
        <v>61</v>
      </c>
      <c r="C20" s="13" t="s">
        <v>60</v>
      </c>
      <c r="D20" s="13"/>
      <c r="E20" s="16" t="n">
        <v>0.77</v>
      </c>
      <c r="F20" s="17" t="n">
        <f aca="false">COUNTIF('January 2026 bill'!$F$28:$F$54,$A20)</f>
        <v>1</v>
      </c>
    </row>
    <row r="21" customFormat="false" ht="15" hidden="false" customHeight="false" outlineLevel="0" collapsed="false">
      <c r="A21" s="13" t="s">
        <v>148</v>
      </c>
      <c r="B21" s="13" t="s">
        <v>58</v>
      </c>
      <c r="C21" s="13" t="s">
        <v>57</v>
      </c>
      <c r="D21" s="13"/>
      <c r="E21" s="16" t="n">
        <v>0.95</v>
      </c>
      <c r="F21" s="17" t="n">
        <f aca="false">COUNTIF('January 2026 bill'!$F$28:$F$54,$A21)</f>
        <v>1</v>
      </c>
    </row>
    <row r="22" customFormat="false" ht="15" hidden="false" customHeight="false" outlineLevel="0" collapsed="false">
      <c r="A22" s="13" t="s">
        <v>170</v>
      </c>
      <c r="B22" s="13" t="s">
        <v>169</v>
      </c>
      <c r="C22" s="13" t="s">
        <v>168</v>
      </c>
      <c r="D22" s="13"/>
      <c r="E22" s="16" t="n">
        <v>1.36</v>
      </c>
      <c r="F22" s="17" t="n">
        <f aca="false">COUNTIF('January 2026 bill'!$F$28:$F$54,$A22)</f>
        <v>1</v>
      </c>
    </row>
    <row r="23" customFormat="false" ht="15" hidden="false" customHeight="false" outlineLevel="0" collapsed="false">
      <c r="A23" s="13" t="s">
        <v>161</v>
      </c>
      <c r="B23" s="13" t="s">
        <v>160</v>
      </c>
      <c r="C23" s="13" t="s">
        <v>159</v>
      </c>
      <c r="D23" s="13"/>
      <c r="E23" s="16" t="n">
        <v>1.38</v>
      </c>
      <c r="F23" s="17" t="n">
        <f aca="false">COUNTIF('January 2026 bill'!$F$28:$F$54,$A23)</f>
        <v>1</v>
      </c>
    </row>
    <row r="24" customFormat="false" ht="15" hidden="false" customHeight="false" outlineLevel="0" collapsed="false">
      <c r="A24" s="13" t="s">
        <v>167</v>
      </c>
      <c r="B24" s="13" t="s">
        <v>166</v>
      </c>
      <c r="C24" s="13" t="s">
        <v>165</v>
      </c>
      <c r="D24" s="13"/>
      <c r="E24" s="16" t="n">
        <v>0.25</v>
      </c>
      <c r="F24" s="17" t="n">
        <f aca="false">COUNTIF('January 2026 bill'!$F$28:$F$54,$A24)</f>
        <v>1</v>
      </c>
    </row>
    <row r="25" customFormat="false" ht="15" hidden="false" customHeight="false" outlineLevel="0" collapsed="false">
      <c r="A25" s="13" t="s">
        <v>200</v>
      </c>
      <c r="B25" s="13" t="s">
        <v>70</v>
      </c>
      <c r="C25" s="13" t="s">
        <v>69</v>
      </c>
      <c r="D25" s="13"/>
      <c r="E25" s="16" t="n">
        <v>0</v>
      </c>
      <c r="F25" s="17" t="n">
        <f aca="false">COUNTIF('January 2026 bill'!$F$28:$F$54,$A25)</f>
        <v>1</v>
      </c>
    </row>
    <row r="26" customFormat="false" ht="15" hidden="false" customHeight="false" outlineLevel="0" collapsed="false">
      <c r="A26" s="13" t="s">
        <v>227</v>
      </c>
      <c r="B26" s="13" t="s">
        <v>228</v>
      </c>
      <c r="C26" s="13" t="s">
        <v>229</v>
      </c>
      <c r="D26" s="13"/>
      <c r="E26" s="16" t="n">
        <v>0.3</v>
      </c>
      <c r="F26" s="17" t="n">
        <f aca="false">COUNTIF('January 2026 bill'!$F$28:$F$54,$A26)</f>
        <v>0</v>
      </c>
    </row>
    <row r="27" customFormat="false" ht="15" hidden="false" customHeight="false" outlineLevel="0" collapsed="false">
      <c r="A27" s="13" t="s">
        <v>230</v>
      </c>
      <c r="B27" s="13" t="s">
        <v>228</v>
      </c>
      <c r="C27" s="13" t="s">
        <v>231</v>
      </c>
      <c r="D27" s="13"/>
      <c r="E27" s="16" t="n">
        <v>0.3</v>
      </c>
      <c r="F27" s="17" t="n">
        <f aca="false">COUNTIF('January 2026 bill'!$F$28:$F$54,$A27)</f>
        <v>0</v>
      </c>
    </row>
    <row r="28" customFormat="false" ht="15" hidden="false" customHeight="false" outlineLevel="0" collapsed="false">
      <c r="A28" s="13" t="s">
        <v>232</v>
      </c>
      <c r="B28" s="13" t="s">
        <v>228</v>
      </c>
      <c r="C28" s="13" t="s">
        <v>233</v>
      </c>
      <c r="D28" s="13"/>
      <c r="E28" s="16" t="n">
        <v>0.3</v>
      </c>
      <c r="F28" s="17" t="n">
        <f aca="false">COUNTIF('January 2026 bill'!$F$28:$F$54,$A28)</f>
        <v>0</v>
      </c>
    </row>
    <row r="29" customFormat="false" ht="15" hidden="false" customHeight="false" outlineLevel="0" collapsed="false">
      <c r="A29" s="13" t="s">
        <v>184</v>
      </c>
      <c r="B29" s="13" t="s">
        <v>185</v>
      </c>
      <c r="C29" s="13" t="s">
        <v>184</v>
      </c>
      <c r="D29" s="13"/>
      <c r="E29" s="16" t="n">
        <v>0.4</v>
      </c>
      <c r="F29" s="17" t="n">
        <f aca="false">COUNTIF('January 2026 bill'!$F$28:$F$54,$A29)</f>
        <v>1</v>
      </c>
    </row>
    <row r="30" customFormat="false" ht="15" hidden="false" customHeight="false" outlineLevel="0" collapsed="false">
      <c r="A30" s="13" t="s">
        <v>234</v>
      </c>
      <c r="B30" s="13" t="s">
        <v>235</v>
      </c>
      <c r="C30" s="13" t="s">
        <v>236</v>
      </c>
      <c r="D30" s="13"/>
      <c r="E30" s="16" t="n">
        <v>0</v>
      </c>
      <c r="F30" s="17" t="n">
        <f aca="false">COUNTIF('January 2026 bill'!$F$28:$F$54,$A30)</f>
        <v>0</v>
      </c>
    </row>
    <row r="31" customFormat="false" ht="15" hidden="false" customHeight="false" outlineLevel="0" collapsed="false">
      <c r="A31" s="13" t="s">
        <v>194</v>
      </c>
      <c r="B31" s="13" t="s">
        <v>67</v>
      </c>
      <c r="C31" s="13" t="s">
        <v>66</v>
      </c>
      <c r="D31" s="13"/>
      <c r="E31" s="16" t="n">
        <v>2.36</v>
      </c>
      <c r="F31" s="17" t="n">
        <f aca="false">COUNTIF('January 2026 bill'!$F$28:$F$54,$A31)</f>
        <v>1</v>
      </c>
    </row>
    <row r="32" customFormat="false" ht="15" hidden="false" customHeight="false" outlineLevel="0" collapsed="false">
      <c r="A32" s="13" t="s">
        <v>147</v>
      </c>
      <c r="B32" s="13" t="s">
        <v>73</v>
      </c>
      <c r="C32" s="13" t="s">
        <v>72</v>
      </c>
      <c r="D32" s="13"/>
      <c r="E32" s="16" t="n">
        <v>0</v>
      </c>
      <c r="F32" s="17" t="n">
        <f aca="false">COUNTIF('January 2026 bill'!$F$28:$F$54,$A32)</f>
        <v>1</v>
      </c>
    </row>
    <row r="33" customFormat="false" ht="15" hidden="false" customHeight="false" outlineLevel="0" collapsed="false">
      <c r="A33" s="13" t="s">
        <v>193</v>
      </c>
      <c r="B33" s="13" t="s">
        <v>192</v>
      </c>
      <c r="C33" s="13" t="s">
        <v>191</v>
      </c>
      <c r="D33" s="13"/>
      <c r="E33" s="16" t="n">
        <v>6.53</v>
      </c>
      <c r="F33" s="17" t="n">
        <f aca="false">COUNTIF('January 2026 bill'!$F$28:$F$54,$A33)</f>
        <v>1</v>
      </c>
    </row>
    <row r="34" customFormat="false" ht="15" hidden="false" customHeight="false" outlineLevel="0" collapsed="false">
      <c r="A34" s="13" t="s">
        <v>190</v>
      </c>
      <c r="B34" s="13" t="s">
        <v>189</v>
      </c>
      <c r="C34" s="13" t="s">
        <v>188</v>
      </c>
      <c r="D34" s="13"/>
      <c r="E34" s="16" t="n">
        <v>1</v>
      </c>
      <c r="F34" s="17" t="n">
        <f aca="false">COUNTIF('January 2026 bill'!$F$28:$F$54,$A34)</f>
        <v>1</v>
      </c>
    </row>
    <row r="35" customFormat="false" ht="15" hidden="false" customHeight="false" outlineLevel="0" collapsed="false">
      <c r="A35" s="13" t="s">
        <v>203</v>
      </c>
      <c r="B35" s="13" t="s">
        <v>202</v>
      </c>
      <c r="C35" s="13" t="s">
        <v>201</v>
      </c>
      <c r="D35" s="13"/>
      <c r="E35" s="16" t="n">
        <v>1.59</v>
      </c>
      <c r="F35" s="17" t="n">
        <f aca="false">COUNTIF('January 2026 bill'!$F$28:$F$54,$A35)</f>
        <v>1</v>
      </c>
    </row>
    <row r="36" customFormat="false" ht="15" hidden="false" customHeight="false" outlineLevel="0" collapsed="false">
      <c r="A36" s="13" t="s">
        <v>158</v>
      </c>
      <c r="B36" s="13" t="s">
        <v>157</v>
      </c>
      <c r="C36" s="13" t="s">
        <v>156</v>
      </c>
      <c r="D36" s="13"/>
      <c r="E36" s="16" t="n">
        <v>1.98</v>
      </c>
      <c r="F36" s="17" t="n">
        <f aca="false">COUNTIF('January 2026 bill'!$F$28:$F$54,$A36)</f>
        <v>1</v>
      </c>
    </row>
    <row r="37" customFormat="false" ht="15" hidden="false" customHeight="false" outlineLevel="0" collapsed="false">
      <c r="A37" s="13" t="s">
        <v>180</v>
      </c>
      <c r="B37" s="13" t="s">
        <v>179</v>
      </c>
      <c r="C37" s="13" t="s">
        <v>178</v>
      </c>
      <c r="D37" s="13"/>
      <c r="E37" s="16" t="n">
        <v>0.49</v>
      </c>
      <c r="F37" s="17" t="n">
        <f aca="false">COUNTIF('January 2026 bill'!$F$28:$F$54,$A37)</f>
        <v>1</v>
      </c>
    </row>
    <row r="38" customFormat="false" ht="15" hidden="false" customHeight="false" outlineLevel="0" collapsed="false">
      <c r="A38" s="13" t="s">
        <v>152</v>
      </c>
      <c r="B38" s="13" t="s">
        <v>151</v>
      </c>
      <c r="C38" s="13" t="s">
        <v>150</v>
      </c>
      <c r="D38" s="13"/>
      <c r="E38" s="16" t="n">
        <v>0.42</v>
      </c>
      <c r="F38" s="17" t="n">
        <f aca="false">COUNTIF('January 2026 bill'!$F$28:$F$54,$A38)</f>
        <v>1</v>
      </c>
    </row>
    <row r="39" customFormat="false" ht="15" hidden="false" customHeight="false" outlineLevel="0" collapsed="false">
      <c r="A39" s="13" t="s">
        <v>164</v>
      </c>
      <c r="B39" s="13" t="s">
        <v>163</v>
      </c>
      <c r="C39" s="13" t="s">
        <v>162</v>
      </c>
      <c r="D39" s="13"/>
      <c r="E39" s="16" t="n">
        <v>0.49</v>
      </c>
      <c r="F39" s="17" t="n">
        <f aca="false">COUNTIF('January 2026 bill'!$F$28:$F$54,$A39)</f>
        <v>1</v>
      </c>
    </row>
    <row r="41" customFormat="false" ht="15" hidden="false" customHeight="false" outlineLevel="0" collapsed="false">
      <c r="A41" s="10" t="s">
        <v>84</v>
      </c>
    </row>
    <row r="42" customFormat="false" ht="15" hidden="false" customHeight="false" outlineLevel="0" collapsed="false">
      <c r="A42" s="22" t="s">
        <v>237</v>
      </c>
    </row>
    <row r="43" customFormat="false" ht="15" hidden="false" customHeight="false" outlineLevel="0" collapsed="false">
      <c r="A43" s="22" t="s">
        <v>238</v>
      </c>
    </row>
    <row r="44" customFormat="false" ht="15" hidden="false" customHeight="false" outlineLevel="0" collapsed="false">
      <c r="A44" s="22"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6"/>
    <col collapsed="false" customWidth="true" hidden="false" outlineLevel="0" max="3" min="3" style="0" width="34"/>
    <col collapsed="false" customWidth="true" hidden="false" outlineLevel="0" max="4" min="4" style="0" width="28"/>
    <col collapsed="false" customWidth="true" hidden="false" outlineLevel="0" max="5" min="5" style="0" width="90"/>
    <col collapsed="false" customWidth="true" hidden="false" outlineLevel="0" max="6" min="6" style="0" width="12"/>
    <col collapsed="false" customWidth="true" hidden="false" outlineLevel="0" max="7" min="7" style="0" width="22"/>
    <col collapsed="false" customWidth="true" hidden="false" outlineLevel="0" max="8" min="8" style="0" width="14"/>
    <col collapsed="false" customWidth="true" hidden="false" outlineLevel="0" max="9" min="9" style="0" width="10"/>
    <col collapsed="false" customWidth="true" hidden="false" outlineLevel="0" max="10" min="10" style="0" width="48"/>
    <col collapsed="false" customWidth="true" hidden="false" outlineLevel="0" max="11" min="11" style="0" width="30"/>
  </cols>
  <sheetData>
    <row r="1" customFormat="false" ht="42" hidden="false" customHeight="true" outlineLevel="0" collapsed="false">
      <c r="A1" s="11" t="s">
        <v>240</v>
      </c>
      <c r="B1" s="11" t="s">
        <v>241</v>
      </c>
      <c r="C1" s="11" t="s">
        <v>242</v>
      </c>
      <c r="D1" s="11" t="s">
        <v>243</v>
      </c>
      <c r="E1" s="11" t="s">
        <v>244</v>
      </c>
      <c r="F1" s="11" t="s">
        <v>245</v>
      </c>
      <c r="G1" s="11" t="s">
        <v>246</v>
      </c>
      <c r="H1" s="11" t="s">
        <v>247</v>
      </c>
      <c r="I1" s="11" t="s">
        <v>248</v>
      </c>
      <c r="J1" s="11" t="s">
        <v>249</v>
      </c>
      <c r="K1" s="11" t="s">
        <v>84</v>
      </c>
    </row>
    <row r="2" customFormat="false" ht="113.4" hidden="false" customHeight="false" outlineLevel="0" collapsed="false">
      <c r="A2" s="33" t="s">
        <v>250</v>
      </c>
      <c r="B2" s="33" t="s">
        <v>251</v>
      </c>
      <c r="C2" s="33" t="s">
        <v>252</v>
      </c>
      <c r="D2" s="33" t="s">
        <v>253</v>
      </c>
      <c r="E2" s="33" t="s">
        <v>254</v>
      </c>
      <c r="F2" s="33" t="s">
        <v>255</v>
      </c>
      <c r="G2" s="33" t="s">
        <v>256</v>
      </c>
      <c r="H2" s="33" t="s">
        <v>257</v>
      </c>
      <c r="I2" s="33" t="n">
        <v>1</v>
      </c>
      <c r="J2" s="33" t="s">
        <v>258</v>
      </c>
      <c r="K2" s="33"/>
    </row>
    <row r="3" customFormat="false" ht="35.05" hidden="false" customHeight="false" outlineLevel="0" collapsed="false">
      <c r="A3" s="33" t="s">
        <v>259</v>
      </c>
      <c r="B3" s="33" t="s">
        <v>251</v>
      </c>
      <c r="C3" s="33" t="s">
        <v>260</v>
      </c>
      <c r="D3" s="33" t="s">
        <v>253</v>
      </c>
      <c r="E3" s="33" t="s">
        <v>261</v>
      </c>
      <c r="F3" s="33" t="s">
        <v>255</v>
      </c>
      <c r="G3" s="33" t="s">
        <v>256</v>
      </c>
      <c r="H3" s="33" t="s">
        <v>257</v>
      </c>
      <c r="I3" s="33" t="n">
        <v>1</v>
      </c>
      <c r="J3" s="33" t="s">
        <v>262</v>
      </c>
      <c r="K3" s="33"/>
    </row>
    <row r="4" customFormat="false" ht="79.85" hidden="false" customHeight="false" outlineLevel="0" collapsed="false">
      <c r="A4" s="33" t="s">
        <v>263</v>
      </c>
      <c r="B4" s="33" t="s">
        <v>251</v>
      </c>
      <c r="C4" s="33" t="s">
        <v>264</v>
      </c>
      <c r="D4" s="33" t="s">
        <v>253</v>
      </c>
      <c r="E4" s="33" t="s">
        <v>265</v>
      </c>
      <c r="F4" s="33" t="s">
        <v>255</v>
      </c>
      <c r="G4" s="33" t="s">
        <v>256</v>
      </c>
      <c r="H4" s="33" t="s">
        <v>257</v>
      </c>
      <c r="I4" s="33" t="n">
        <v>8</v>
      </c>
      <c r="J4" s="33" t="s">
        <v>266</v>
      </c>
      <c r="K4" s="33"/>
    </row>
    <row r="5" customFormat="false" ht="57.45" hidden="false" customHeight="false" outlineLevel="0" collapsed="false">
      <c r="A5" s="33" t="s">
        <v>267</v>
      </c>
      <c r="B5" s="33" t="s">
        <v>251</v>
      </c>
      <c r="C5" s="33" t="s">
        <v>268</v>
      </c>
      <c r="D5" s="33" t="s">
        <v>253</v>
      </c>
      <c r="E5" s="33" t="s">
        <v>269</v>
      </c>
      <c r="F5" s="33" t="s">
        <v>255</v>
      </c>
      <c r="G5" s="33" t="s">
        <v>256</v>
      </c>
      <c r="H5" s="33" t="s">
        <v>257</v>
      </c>
      <c r="I5" s="33" t="n">
        <v>35</v>
      </c>
      <c r="J5" s="33" t="s">
        <v>270</v>
      </c>
      <c r="K5" s="33" t="s">
        <v>271</v>
      </c>
    </row>
    <row r="6" customFormat="false" ht="91" hidden="false" customHeight="false" outlineLevel="0" collapsed="false">
      <c r="A6" s="33" t="s">
        <v>272</v>
      </c>
      <c r="B6" s="33" t="s">
        <v>251</v>
      </c>
      <c r="C6" s="33" t="s">
        <v>273</v>
      </c>
      <c r="D6" s="33" t="s">
        <v>253</v>
      </c>
      <c r="E6" s="33" t="s">
        <v>274</v>
      </c>
      <c r="F6" s="33" t="s">
        <v>255</v>
      </c>
      <c r="G6" s="33" t="s">
        <v>256</v>
      </c>
      <c r="H6" s="33" t="s">
        <v>257</v>
      </c>
      <c r="I6" s="33" t="n">
        <v>27</v>
      </c>
      <c r="J6" s="33" t="s">
        <v>275</v>
      </c>
      <c r="K6" s="33"/>
    </row>
    <row r="7" customFormat="false" ht="57.45" hidden="false" customHeight="false" outlineLevel="0" collapsed="false">
      <c r="A7" s="33" t="s">
        <v>276</v>
      </c>
      <c r="B7" s="33" t="s">
        <v>251</v>
      </c>
      <c r="C7" s="33" t="s">
        <v>277</v>
      </c>
      <c r="D7" s="33" t="s">
        <v>253</v>
      </c>
      <c r="E7" s="33" t="s">
        <v>278</v>
      </c>
      <c r="F7" s="33" t="s">
        <v>255</v>
      </c>
      <c r="G7" s="33" t="s">
        <v>256</v>
      </c>
      <c r="H7" s="33" t="s">
        <v>257</v>
      </c>
      <c r="I7" s="33" t="n">
        <v>3</v>
      </c>
      <c r="J7" s="33" t="s">
        <v>279</v>
      </c>
      <c r="K7" s="33" t="s">
        <v>280</v>
      </c>
    </row>
    <row r="8" customFormat="false" ht="35.05" hidden="false" customHeight="false" outlineLevel="0" collapsed="false">
      <c r="A8" s="33" t="s">
        <v>281</v>
      </c>
      <c r="B8" s="33" t="s">
        <v>251</v>
      </c>
      <c r="C8" s="33" t="s">
        <v>282</v>
      </c>
      <c r="D8" s="33" t="s">
        <v>253</v>
      </c>
      <c r="E8" s="33" t="s">
        <v>283</v>
      </c>
      <c r="F8" s="33" t="s">
        <v>255</v>
      </c>
      <c r="G8" s="33" t="s">
        <v>256</v>
      </c>
      <c r="H8" s="33" t="s">
        <v>257</v>
      </c>
      <c r="I8" s="33" t="n">
        <v>1</v>
      </c>
      <c r="J8" s="33" t="s">
        <v>284</v>
      </c>
      <c r="K8"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2026-10-07T18:45:00Z</dcterms:created>
  <dc:creator>openpyxl</dc:creator>
  <dc:description/>
  <dc:language>en-US</dc:language>
  <cp:lastModifiedBy/>
  <dcterms:modified xsi:type="dcterms:W3CDTF">2026-10-07T18:45:00Z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