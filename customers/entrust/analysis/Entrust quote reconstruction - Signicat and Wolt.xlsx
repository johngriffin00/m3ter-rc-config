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icat quote" sheetId="1" r:id="rId5"/>
    <sheet state="visible" name="Wolt quote 2025" sheetId="2" r:id="rId6"/>
    <sheet state="visible" name="Wolt quote 2026" sheetId="3" r:id="rId7"/>
    <sheet state="visible" name="January 2026 bills" sheetId="4" r:id="rId8"/>
    <sheet state="visible" name="Data Sources" sheetId="5" r:id="rId9"/>
  </sheets>
  <definedNames/>
  <calcPr/>
</workbook>
</file>

<file path=xl/sharedStrings.xml><?xml version="1.0" encoding="utf-8"?>
<sst xmlns="http://schemas.openxmlformats.org/spreadsheetml/2006/main" count="643" uniqueCount="207">
  <si>
    <t>Wolt Enterprises Oy: renewal quote, January 2025</t>
  </si>
  <si>
    <t>Signicat AS: renewal quote, July 2025</t>
  </si>
  <si>
    <t>Wolt Enterprises Oy: renewal quote, January 2026</t>
  </si>
  <si>
    <t>January 2026 bills recomputed from quote prices</t>
  </si>
  <si>
    <t>Reconstructed from m3ter. Blue: values held in m3ter. Black: formulas. Green: formulas reading the January 2026 bills tab. Yellow: illustrative, not held in m3ter.</t>
  </si>
  <si>
    <t>Source: m3ter data in local Postgres (customerdb, schema entrust), queried by Claude on 6 Oct 2026. The queries are on the Data Sources tab.</t>
  </si>
  <si>
    <t>Billed quantities from m3ter, priced at the net prices on the quote tabs. Blue: values held in m3ter. Black: formulas. Green: formulas reading the quote tabs.</t>
  </si>
  <si>
    <t>Customer</t>
  </si>
  <si>
    <t>Source: m3ter data in local Postgres (customerdb, schema entrust), queried by Claude on 6 Oct 2026. The queries are on the Data Sources tab. Bill totals in column G are from the m3ter bill screenshots the user shared on 6 Oct 2026.</t>
  </si>
  <si>
    <t>Line type summed</t>
  </si>
  <si>
    <t>USAGE</t>
  </si>
  <si>
    <t>Signicat AS</t>
  </si>
  <si>
    <t>BALANCE_CONSUMED</t>
  </si>
  <si>
    <t>Wolt Enterprises Oy</t>
  </si>
  <si>
    <t>m3ter account code</t>
  </si>
  <si>
    <t>0012400000bYaokAAC</t>
  </si>
  <si>
    <t>0012400001GbKtsAAF</t>
  </si>
  <si>
    <t>Salesforce opportunity</t>
  </si>
  <si>
    <t>006So00000QJ9IPIA1</t>
  </si>
  <si>
    <t>006So00000KusqKIAR</t>
  </si>
  <si>
    <t>Quote type</t>
  </si>
  <si>
    <t>006So00000HLTq3IAH</t>
  </si>
  <si>
    <t>Renewal</t>
  </si>
  <si>
    <t>Term start</t>
  </si>
  <si>
    <t>Term end</t>
  </si>
  <si>
    <t>m3ter bill</t>
  </si>
  <si>
    <t>Usage at quote prices (EUR)</t>
  </si>
  <si>
    <t>Term (months)</t>
  </si>
  <si>
    <t>Billed usage (EUR)</t>
  </si>
  <si>
    <t>Prepayment drawn down (EUR)</t>
  </si>
  <si>
    <t>Bill total recomputed (EUR)</t>
  </si>
  <si>
    <t>m3ter bill total (EUR)</t>
  </si>
  <si>
    <t>Difference (EUR)</t>
  </si>
  <si>
    <t>Currency</t>
  </si>
  <si>
    <t>EUR</t>
  </si>
  <si>
    <t>Rate card</t>
  </si>
  <si>
    <t>Rate Card B EUR Default Pricing</t>
  </si>
  <si>
    <t>Bill frequency</t>
  </si>
  <si>
    <t>Monthly</t>
  </si>
  <si>
    <t>INV-6327</t>
  </si>
  <si>
    <t>Minimum prepayment (EUR)</t>
  </si>
  <si>
    <t>CSM fee commitment (EUR)</t>
  </si>
  <si>
    <t>Quote total (EUR)</t>
  </si>
  <si>
    <t>Price schedule</t>
  </si>
  <si>
    <t>Line</t>
  </si>
  <si>
    <t>Accounting product (m3ter)</t>
  </si>
  <si>
    <t>Product</t>
  </si>
  <si>
    <t>m3ter meter</t>
  </si>
  <si>
    <t>Country</t>
  </si>
  <si>
    <t>Rate card price (EUR)</t>
  </si>
  <si>
    <t>Discount</t>
  </si>
  <si>
    <t>Net price (EUR)</t>
  </si>
  <si>
    <t>Jan 2026 volume (checks)</t>
  </si>
  <si>
    <t>Jan 2026 value (EUR)</t>
  </si>
  <si>
    <t>Illustrative annual volume (checks)</t>
  </si>
  <si>
    <t>Illustrative annual value (EUR)</t>
  </si>
  <si>
    <t>W26-01</t>
  </si>
  <si>
    <t>S-01</t>
  </si>
  <si>
    <t>CPQ_ID_1218</t>
  </si>
  <si>
    <t>Document Check - ANY</t>
  </si>
  <si>
    <t>W25-01</t>
  </si>
  <si>
    <t>document_report_standard_hybrid</t>
  </si>
  <si>
    <t>Document Check - Boost</t>
  </si>
  <si>
    <t>ANY (all other)</t>
  </si>
  <si>
    <t>CPQ_ID_1223</t>
  </si>
  <si>
    <t>All</t>
  </si>
  <si>
    <t>INV-74aa</t>
  </si>
  <si>
    <t>Bill lines</t>
  </si>
  <si>
    <t>Opportunity</t>
  </si>
  <si>
    <t>Line type</t>
  </si>
  <si>
    <t>Accounting product</t>
  </si>
  <si>
    <t>Country segment</t>
  </si>
  <si>
    <t>Service period start</t>
  </si>
  <si>
    <t>Service period end</t>
  </si>
  <si>
    <t>Quantity</t>
  </si>
  <si>
    <t>Billed unit price (EUR)</t>
  </si>
  <si>
    <t>Billed subtotal (EUR)</t>
  </si>
  <si>
    <t>Quote line</t>
  </si>
  <si>
    <t>Quote net price (EUR)</t>
  </si>
  <si>
    <t>Recomputed subtotal (EUR)</t>
  </si>
  <si>
    <t>Note</t>
  </si>
  <si>
    <t>W26-02</t>
  </si>
  <si>
    <t>CPQ_ID_1219</t>
  </si>
  <si>
    <t>Document Check - USA</t>
  </si>
  <si>
    <t>JPN</t>
  </si>
  <si>
    <t>W25-02</t>
  </si>
  <si>
    <t>S-02</t>
  </si>
  <si>
    <t>CPQ_ID_1221</t>
  </si>
  <si>
    <t>Document Check - JPN</t>
  </si>
  <si>
    <t>document_report_standard_auto</t>
  </si>
  <si>
    <t>Document Check - Flash</t>
  </si>
  <si>
    <t>W26-03</t>
  </si>
  <si>
    <t>CPQ_ID_1298</t>
  </si>
  <si>
    <t>document_report_driver_verification</t>
  </si>
  <si>
    <t>S-03</t>
  </si>
  <si>
    <t>document_report_standard_manual</t>
  </si>
  <si>
    <t>Document Check - Sherlock</t>
  </si>
  <si>
    <t>W25-03</t>
  </si>
  <si>
    <t>CPQ_ID_1222</t>
  </si>
  <si>
    <t>Document Check - KAZ,SRB</t>
  </si>
  <si>
    <t>KAZ; SRB</t>
  </si>
  <si>
    <t>W26-04</t>
  </si>
  <si>
    <t>CPQ_ID_1297</t>
  </si>
  <si>
    <t>S-04</t>
  </si>
  <si>
    <t>Document Check - Driver Verification</t>
  </si>
  <si>
    <t>W26-05</t>
  </si>
  <si>
    <t>facial_similarity_report_standard</t>
  </si>
  <si>
    <t>Facial Similarity Check - Selfie Hybrid</t>
  </si>
  <si>
    <t>W25-04</t>
  </si>
  <si>
    <t>S-05</t>
  </si>
  <si>
    <t>W26-06</t>
  </si>
  <si>
    <t>facial_similarity_report_motion_ETSI_Certified_IDV_with_QES_and_OTP</t>
  </si>
  <si>
    <t>W25-05</t>
  </si>
  <si>
    <t>Motion (ETSI Certified IDV with QES and OTP)</t>
  </si>
  <si>
    <t>facial_similarity_report_motion</t>
  </si>
  <si>
    <t>S-06</t>
  </si>
  <si>
    <t>facial_similarity_report_video</t>
  </si>
  <si>
    <t>Facial Similarity Check - Video</t>
  </si>
  <si>
    <t>W26-07</t>
  </si>
  <si>
    <t>repeat_attempts_report_standard</t>
  </si>
  <si>
    <t>Repeat Attempts</t>
  </si>
  <si>
    <t>W25-06</t>
  </si>
  <si>
    <t>S-07</t>
  </si>
  <si>
    <t>W26-08</t>
  </si>
  <si>
    <t>applicant_fraud_report_standard</t>
  </si>
  <si>
    <t>Device Intelligence - Standard</t>
  </si>
  <si>
    <t>W25-07</t>
  </si>
  <si>
    <t>S-08</t>
  </si>
  <si>
    <t>Motion PLG</t>
  </si>
  <si>
    <t>proof_of_address_report_standard</t>
  </si>
  <si>
    <t>Proof of Address</t>
  </si>
  <si>
    <t>W26-09</t>
  </si>
  <si>
    <t>known_faces_report_standard</t>
  </si>
  <si>
    <t>Facial Similarity Check Upgrade - Known Faces</t>
  </si>
  <si>
    <t>S-09</t>
  </si>
  <si>
    <t>W25-08</t>
  </si>
  <si>
    <t>W26-10</t>
  </si>
  <si>
    <t>autofill</t>
  </si>
  <si>
    <t>OCR Autofill</t>
  </si>
  <si>
    <t>S-10</t>
  </si>
  <si>
    <t>W25-09</t>
  </si>
  <si>
    <t>Total</t>
  </si>
  <si>
    <t>S-11</t>
  </si>
  <si>
    <t>W25-10</t>
  </si>
  <si>
    <t>S-12</t>
  </si>
  <si>
    <t>Illustrative annual value less minimum prepayment (EUR)</t>
  </si>
  <si>
    <t>Notes</t>
  </si>
  <si>
    <t>Illustrative annual volume splits the minimum prepayment across lines in proportion to January 2026 billed value, then divides by net price. The volumes actually quoted are not held in m3ter.</t>
  </si>
  <si>
    <t>Lines with no January 2026 usage get no illustrative volume.</t>
  </si>
  <si>
    <t>Lines priced at 0.00 are included at no charge.</t>
  </si>
  <si>
    <t>W25-11</t>
  </si>
  <si>
    <t>Minimum prepayment is the contract's usage ACV (customFields_nsUsageACV). On Wolt's 2026 contract that figure less the January drawdown equals the balance m3ter still holds (700,181.60 - 10,556.65 = 689,624.95).</t>
  </si>
  <si>
    <t>CSM fee commitment is customFields_CSMFeeCommitment on the contract. Empty is shown as 0.</t>
  </si>
  <si>
    <t>KAZ and SRB have no separate price on this quote. Those checks bill at the ANY price.</t>
  </si>
  <si>
    <t>Line W26-02 prices the JPN segment, but its accounting product in m3ter is named Document Check - USA.</t>
  </si>
  <si>
    <t>The quote total assumes the CSM fee is charged on top of the prepayment. m3ter records the amount only.</t>
  </si>
  <si>
    <t>The January 2026 volume covers 27 to 31 January only, the first five days of this contract.</t>
  </si>
  <si>
    <t>minimum_prepayment</t>
  </si>
  <si>
    <t>Prepayment drawdown</t>
  </si>
  <si>
    <t>Document checks are priced by check type only. The meters carry a country field, but this quote does not use it.</t>
  </si>
  <si>
    <t>m3ter holds no CPQ SKU ids for these lines, so the accounting product is the m3ter product code.</t>
  </si>
  <si>
    <t>KAZ</t>
  </si>
  <si>
    <t>Document checks are priced by country. Each country line is a segment of the meter's country field in m3ter.</t>
  </si>
  <si>
    <t>The Boost meter (document_report_standard_hybrid) and the Driver Verification meter share the same country price points.</t>
  </si>
  <si>
    <t>KAZ and SRB are one quote line and two segment prices in m3ter.</t>
  </si>
  <si>
    <t>This prepayment was used up before January 2026, so 1 to 27 January usage was billed in full (66,963.34).</t>
  </si>
  <si>
    <t>SRB</t>
  </si>
  <si>
    <t>m3ter total-count line at 0.00, not a quote line</t>
  </si>
  <si>
    <t>Written to</t>
  </si>
  <si>
    <t>Source</t>
  </si>
  <si>
    <t>Object</t>
  </si>
  <si>
    <t>Obtained via</t>
  </si>
  <si>
    <t>Query or request</t>
  </si>
  <si>
    <t>Parameters</t>
  </si>
  <si>
    <t>Run at</t>
  </si>
  <si>
    <t>Requested by</t>
  </si>
  <si>
    <t>Row count</t>
  </si>
  <si>
    <t>Changes after retrieval</t>
  </si>
  <si>
    <t>'Signicat quote'!A4:B15; 'Wolt quote 2025'!A4:B15; 'Wolt quote 2026'!A4:B15</t>
  </si>
  <si>
    <t>m3ter data in local Postgres (customerdb, schema entrust)</t>
  </si>
  <si>
    <t>customerdb.entrust.contracts, accounts, accountplans, plans, plantemplates</t>
  </si>
  <si>
    <t>Read-only SQL through the Postgres MCP server, run by Claude</t>
  </si>
  <si>
    <t>SELECT a.name AS account, a.code AS account_code, c.code AS opportunity, c."startDate", c."endDate", c."customFields_contractLength" AS term_months, c."customFields_nsUsageACV" AS usage_acv, c."customFields_CSMFeeCommitment" AS csm_fee, p.code AS plan_code, p.name AS plan_name, pt.name AS rate_card, pt."billFrequency" AS bill_frequency, pt.currency FROM entrust.contracts c JOIN entrust.accounts a ON a.id = c."accountId" JOIN entrust.accountplans ap ON ap."contractId" = c.id JOIN entrust.plans p ON p.id = ap."planId" JOIN entrust.plantemplates pt ON pt.id = p."planTemplateId" WHERE a.code IN ('0012400000bYaokAAC','0012400001GbKtsAAF') ORDER BY a.name, c."startDate"</t>
  </si>
  <si>
    <t>None</t>
  </si>
  <si>
    <t>2026-10-06 17:12 IST (UTC+01:00)</t>
  </si>
  <si>
    <t>John Griffin</t>
  </si>
  <si>
    <t>One row per quote tab, laid out as label and value. Quote type taken from the plan name. Empty CSM fee shown as 0.</t>
  </si>
  <si>
    <t>'Signicat quote'!A19:H31; 'Wolt quote 2025'!A19:H30; 'Wolt quote 2026'!A19:H29 (columns A to E and H)</t>
  </si>
  <si>
    <t>customerdb.entrust.plans, pricings, aggregations, meters, products</t>
  </si>
  <si>
    <t>SELECT p.code AS plan_code, m.code AS meter, pr."segmentString" AS segment, ap.code AS accounting_product, ap.name AS accounting_product_name, (pr."pricingBands"::jsonb-&gt;0-&gt;&gt;'unitPrice')::numeric AS unit_price, jsonb_array_length(pr."pricingBands"::jsonb) AS bands FROM entrust.plans p JOIN entrust.pricings pr ON pr."planId" = p.id JOIN entrust.aggregations ag ON ag.id = pr."aggregationId" JOIN entrust.meters m ON m.id = ag."meterId" LEFT JOIN entrust.products ap ON ap.id = pr."accountingProductId" WHERE p.code IN ('checks_006So00000HLTq3IAH','checks_006So00000QJ9IPIA1','checks_006So00000KusqKIAR') AND NOT (ag."segmentedFields"::text IN ('[]','null') AND ag."customFields_opportunityId" IS NULL AND m.code IN ('document_report_standard_hybrid','document_report_driver_verification') AND p.code &lt;&gt; 'checks_006So00000KusqKIAR') ORDER BY 1, 2, 3</t>
  </si>
  <si>
    <t>Split by plan into the three quote tabs. KAZ and SRB segment prices merged into one line (W25-03). Line ids added. Products with no accounting product on the pricing use the product code shown on the bill.</t>
  </si>
  <si>
    <t>'Signicat quote'!F20:F31; 'Wolt quote 2025'!F20:F30; 'Wolt quote 2026'!F20:F29</t>
  </si>
  <si>
    <t>customerdb.entrust.plantemplates, pricings, aggregations, meters</t>
  </si>
  <si>
    <t>SELECT m.code AS meter, (pr."pricingBands"::jsonb-&gt;0-&gt;&gt;'unitPrice')::numeric AS list_price, pr."startDate" FROM entrust.plantemplates pt JOIN entrust.pricings pr ON pr."planTemplateId" = pt.id JOIN entrust.aggregations ag ON ag.id = pr."aggregationId" JOIN entrust.meters m ON m.id = ag."meterId" WHERE pt.code = 'rate_card_b_eur_default_pricing' AND pr."endDate" IS NULL AND m.code IN ('document_report_standard_hybrid','document_report_standard_auto','document_report_standard_manual','document_report_driver_verification','facial_similarity_report_standard','facial_similarity_report_motion','facial_similarity_report_video','proof_of_address_report_standard','repeat_attempts_report_standard','applicant_fraud_report_standard','autofill','known_faces_report_standard') ORDER BY 1</t>
  </si>
  <si>
    <t>Matched to quote lines by meter.</t>
  </si>
  <si>
    <t>Prices in force from 27 Jan 2025 with no end date.</t>
  </si>
  <si>
    <t>'January 2026 bills'!A10:K50</t>
  </si>
  <si>
    <t>customerdb.entrust.bills (lineItems), plans, meters</t>
  </si>
  <si>
    <t>SELECT b."accountCode" AS account_code, li-&gt;&gt;'lineItemType' AS type, p.code AS plan_code, m.code AS meter, li-&gt;'segment'-&gt;&gt;'country' AS country, li-&gt;&gt;'accountingProductCode' AS accounting_product, left(li-&gt;&gt;'servicePeriodStartDate', 10) AS period_start, left(li-&gt;&gt;'servicePeriodEndDate', 10) AS period_end, (li-&gt;&gt;'quantity')::numeric AS quantity, (li-&gt;&gt;'averageUnitPrice')::numeric AS unit_price, (li-&gt;&gt;'subtotal')::numeric AS subtotal FROM entrust.bills b CROSS JOIN LATERAL jsonb_array_elements(b."lineItems"::jsonb) li LEFT JOIN entrust.plans p ON p.id = li-&gt;&gt;'planId' LEFT JOIN entrust.meters m ON m.id = li-&gt;&gt;'meterId' WHERE b.id IN ('e8d28b4f-4e61-460d-8525-7f2bc8b974aa','ce9c574e-9384-46f5-8f9d-d4d4c5906327') AND ((li-&gt;&gt;'quantity')::numeric &gt; 0 OR (li-&gt;&gt;'subtotal')::numeric &lt;&gt; 0) ORDER BY 1, 3, 4, 5, 7</t>
  </si>
  <si>
    <t>Account code shown as customer name, plan code as opportunity. Rows reordered. Quote line and Note columns added.</t>
  </si>
  <si>
    <t>'January 2026 bills'!G6:G7</t>
  </si>
  <si>
    <t>m3ter bill details screens</t>
  </si>
  <si>
    <t>Bills INV-6327 and INV-74aa</t>
  </si>
  <si>
    <t>Screenshots pasted into chat by user; not read from m3ter by Claude</t>
  </si>
  <si>
    <t>ok lets take the 2 bills in m3ter for the accounts you have listed above</t>
  </si>
  <si>
    <t>2026-10-06 (screenshots show bills last calculated 9 Apr 2026)</t>
  </si>
  <si>
    <t>Used because billTotal in customerdb is rounded to whole numbers.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</si>
</sst>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\ mmm\ yyyy"/>
    <numFmt numFmtId="165" formatCode="#,##0.00;\(#,##0.00\);\-"/>
    <numFmt numFmtId="166" formatCode="0.00;\(0.00\);\-"/>
    <numFmt numFmtId="167" formatCode="#,##0.00;\(#,##0.00\);0.00"/>
    <numFmt numFmtId="168" formatCode="0.0%;\(0.0%\);\-"/>
    <numFmt numFmtId="169" formatCode="#,##0;\(#,##0\);\-"/>
  </numFmts>
  <fonts count="9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595959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008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left" shrinkToFit="0" vertical="bottom" wrapText="0"/>
    </xf>
    <xf borderId="1" fillId="0" fontId="4" numFmtId="1" xfId="0" applyAlignment="1" applyBorder="1" applyFont="1" applyNumberFormat="1">
      <alignment horizontal="left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5" xfId="0" applyAlignment="1" applyBorder="1" applyFont="1" applyNumberFormat="1">
      <alignment horizontal="left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3" fontId="3" numFmtId="165" xfId="0" applyAlignment="1" applyBorder="1" applyFill="1" applyFont="1" applyNumberFormat="1">
      <alignment horizontal="left" shrinkToFit="0" vertical="bottom" wrapText="0"/>
    </xf>
    <xf borderId="1" fillId="0" fontId="6" numFmtId="165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4" fontId="7" numFmtId="0" xfId="0" applyAlignment="1" applyBorder="1" applyFill="1" applyFont="1">
      <alignment horizontal="center" shrinkToFit="0" vertical="center" wrapText="1"/>
    </xf>
    <xf borderId="1" fillId="0" fontId="4" numFmtId="166" xfId="0" applyAlignment="1" applyBorder="1" applyFont="1" applyNumberFormat="1">
      <alignment shrinkToFit="0" vertical="bottom" wrapText="0"/>
    </xf>
    <xf borderId="1" fillId="0" fontId="4" numFmtId="167" xfId="0" applyAlignment="1" applyBorder="1" applyFont="1" applyNumberFormat="1">
      <alignment shrinkToFit="0" vertical="bottom" wrapText="0"/>
    </xf>
    <xf borderId="1" fillId="0" fontId="6" numFmtId="168" xfId="0" applyAlignment="1" applyBorder="1" applyFont="1" applyNumberFormat="1">
      <alignment shrinkToFit="0" vertical="bottom" wrapText="0"/>
    </xf>
    <xf borderId="1" fillId="0" fontId="8" numFmtId="169" xfId="0" applyAlignment="1" applyBorder="1" applyFont="1" applyNumberForma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6" numFmtId="169" xfId="0" applyAlignment="1" applyBorder="1" applyFont="1" applyNumberFormat="1">
      <alignment shrinkToFit="0" vertical="bottom" wrapText="0"/>
    </xf>
    <xf borderId="1" fillId="0" fontId="4" numFmtId="169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8" numFmtId="166" xfId="0" applyAlignment="1" applyBorder="1" applyFont="1" applyNumberFormat="1">
      <alignment shrinkToFit="0" vertical="bottom" wrapText="0"/>
    </xf>
    <xf borderId="1" fillId="3" fontId="3" numFmtId="165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6" numFmtId="166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34.0"/>
    <col customWidth="1" min="3" max="3" width="42.0"/>
    <col customWidth="1" min="4" max="4" width="36.0"/>
    <col customWidth="1" min="5" max="5" width="16.0"/>
    <col customWidth="1" min="6" max="6" width="12.0"/>
    <col customWidth="1" min="7" max="7" width="10.0"/>
    <col customWidth="1" min="8" max="8" width="12.0"/>
    <col customWidth="1" min="9" max="9" width="14.0"/>
    <col customWidth="1" min="10" max="10" width="15.0"/>
    <col customWidth="1" min="11" max="12" width="16.0"/>
    <col customWidth="1" min="13" max="26" width="8.71"/>
  </cols>
  <sheetData>
    <row r="1">
      <c r="A1" s="1" t="s">
        <v>1</v>
      </c>
    </row>
    <row r="2">
      <c r="A2" s="2" t="s">
        <v>4</v>
      </c>
    </row>
    <row r="3">
      <c r="A3" s="2" t="s">
        <v>5</v>
      </c>
    </row>
    <row r="4">
      <c r="A4" s="3" t="s">
        <v>7</v>
      </c>
      <c r="B4" s="4" t="s">
        <v>11</v>
      </c>
    </row>
    <row r="5">
      <c r="A5" s="3" t="s">
        <v>14</v>
      </c>
      <c r="B5" s="4" t="s">
        <v>16</v>
      </c>
    </row>
    <row r="6">
      <c r="A6" s="3" t="s">
        <v>17</v>
      </c>
      <c r="B6" s="4" t="s">
        <v>19</v>
      </c>
    </row>
    <row r="7">
      <c r="A7" s="3" t="s">
        <v>20</v>
      </c>
      <c r="B7" s="4" t="s">
        <v>22</v>
      </c>
    </row>
    <row r="8">
      <c r="A8" s="3" t="s">
        <v>23</v>
      </c>
      <c r="B8" s="6">
        <v>45839.0</v>
      </c>
    </row>
    <row r="9">
      <c r="A9" s="3" t="s">
        <v>24</v>
      </c>
      <c r="B9" s="6">
        <v>46204.0</v>
      </c>
    </row>
    <row r="10">
      <c r="A10" s="3" t="s">
        <v>27</v>
      </c>
      <c r="B10" s="7">
        <v>12.0</v>
      </c>
    </row>
    <row r="11">
      <c r="A11" s="3" t="s">
        <v>33</v>
      </c>
      <c r="B11" s="4" t="s">
        <v>34</v>
      </c>
    </row>
    <row r="12">
      <c r="A12" s="3" t="s">
        <v>35</v>
      </c>
      <c r="B12" s="4" t="s">
        <v>36</v>
      </c>
    </row>
    <row r="13">
      <c r="A13" s="3" t="s">
        <v>37</v>
      </c>
      <c r="B13" s="4" t="s">
        <v>38</v>
      </c>
    </row>
    <row r="14">
      <c r="A14" s="3" t="s">
        <v>40</v>
      </c>
      <c r="B14" s="9">
        <v>201262.83</v>
      </c>
    </row>
    <row r="15">
      <c r="A15" s="3" t="s">
        <v>41</v>
      </c>
      <c r="B15" s="9">
        <v>0.0</v>
      </c>
    </row>
    <row r="16">
      <c r="A16" s="10" t="s">
        <v>42</v>
      </c>
      <c r="B16" s="11">
        <f>B14+B15</f>
        <v>201262.83</v>
      </c>
    </row>
    <row r="18">
      <c r="A18" s="13" t="s">
        <v>43</v>
      </c>
    </row>
    <row r="19" ht="42.0" customHeight="1">
      <c r="A19" s="5" t="s">
        <v>44</v>
      </c>
      <c r="B19" s="5" t="s">
        <v>45</v>
      </c>
      <c r="C19" s="5" t="s">
        <v>46</v>
      </c>
      <c r="D19" s="5" t="s">
        <v>47</v>
      </c>
      <c r="E19" s="5" t="s">
        <v>48</v>
      </c>
      <c r="F19" s="5" t="s">
        <v>49</v>
      </c>
      <c r="G19" s="5" t="s">
        <v>50</v>
      </c>
      <c r="H19" s="5" t="s">
        <v>51</v>
      </c>
      <c r="I19" s="5" t="s">
        <v>52</v>
      </c>
      <c r="J19" s="5" t="s">
        <v>53</v>
      </c>
      <c r="K19" s="14" t="s">
        <v>54</v>
      </c>
      <c r="L19" s="14" t="s">
        <v>55</v>
      </c>
    </row>
    <row r="20">
      <c r="A20" s="8" t="s">
        <v>57</v>
      </c>
      <c r="B20" s="8" t="s">
        <v>61</v>
      </c>
      <c r="C20" s="8" t="s">
        <v>62</v>
      </c>
      <c r="D20" s="8" t="s">
        <v>61</v>
      </c>
      <c r="E20" s="8" t="s">
        <v>65</v>
      </c>
      <c r="F20" s="15">
        <v>2.28</v>
      </c>
      <c r="G20" s="17">
        <f t="shared" ref="G20:G31" si="1">IF(F20=0,0,1-H20/F20)</f>
        <v>0.6622807018</v>
      </c>
      <c r="H20" s="15">
        <v>0.77</v>
      </c>
      <c r="I20" s="18">
        <f>SUMIFS('January 2026 bills'!$I$11:$I$50,'January 2026 bills'!$L$11:$L$50,$A20)</f>
        <v>16739</v>
      </c>
      <c r="J20" s="12">
        <f t="shared" ref="J20:J31" si="2">I20*H20</f>
        <v>12889.03</v>
      </c>
      <c r="K20" s="20">
        <f t="shared" ref="K20:K31" si="3">IF(OR(H20=0,$J$32=0),0,$B$14*J20/$J$32/H20)</f>
        <v>141862.8252</v>
      </c>
      <c r="L20" s="12">
        <f t="shared" ref="L20:L31" si="4">K20*H20</f>
        <v>109234.3754</v>
      </c>
    </row>
    <row r="21" ht="15.75" customHeight="1">
      <c r="A21" s="8" t="s">
        <v>86</v>
      </c>
      <c r="B21" s="8" t="s">
        <v>89</v>
      </c>
      <c r="C21" s="8" t="s">
        <v>90</v>
      </c>
      <c r="D21" s="8" t="s">
        <v>89</v>
      </c>
      <c r="E21" s="8" t="s">
        <v>65</v>
      </c>
      <c r="F21" s="15">
        <v>0.65</v>
      </c>
      <c r="G21" s="17">
        <f t="shared" si="1"/>
        <v>0.6615384615</v>
      </c>
      <c r="H21" s="15">
        <v>0.22</v>
      </c>
      <c r="I21" s="18">
        <f>SUMIFS('January 2026 bills'!$I$11:$I$50,'January 2026 bills'!$L$11:$L$50,$A21)</f>
        <v>7220</v>
      </c>
      <c r="J21" s="12">
        <f t="shared" si="2"/>
        <v>1588.4</v>
      </c>
      <c r="K21" s="20">
        <f t="shared" si="3"/>
        <v>61189.41381</v>
      </c>
      <c r="L21" s="12">
        <f t="shared" si="4"/>
        <v>13461.67104</v>
      </c>
    </row>
    <row r="22" ht="15.75" customHeight="1">
      <c r="A22" s="8" t="s">
        <v>94</v>
      </c>
      <c r="B22" s="8" t="s">
        <v>95</v>
      </c>
      <c r="C22" s="8" t="s">
        <v>96</v>
      </c>
      <c r="D22" s="8" t="s">
        <v>95</v>
      </c>
      <c r="E22" s="8" t="s">
        <v>65</v>
      </c>
      <c r="F22" s="15">
        <v>3.02</v>
      </c>
      <c r="G22" s="17">
        <f t="shared" si="1"/>
        <v>0.7450331126</v>
      </c>
      <c r="H22" s="15">
        <v>0.77</v>
      </c>
      <c r="I22" s="18">
        <f>SUMIFS('January 2026 bills'!$I$11:$I$50,'January 2026 bills'!$L$11:$L$50,$A22)</f>
        <v>5673</v>
      </c>
      <c r="J22" s="12">
        <f t="shared" si="2"/>
        <v>4368.21</v>
      </c>
      <c r="K22" s="20">
        <f t="shared" si="3"/>
        <v>48078.60728</v>
      </c>
      <c r="L22" s="12">
        <f t="shared" si="4"/>
        <v>37020.5276</v>
      </c>
    </row>
    <row r="23" ht="15.75" customHeight="1">
      <c r="A23" s="8" t="s">
        <v>103</v>
      </c>
      <c r="B23" s="8" t="s">
        <v>93</v>
      </c>
      <c r="C23" s="8" t="s">
        <v>104</v>
      </c>
      <c r="D23" s="8" t="s">
        <v>93</v>
      </c>
      <c r="E23" s="8" t="s">
        <v>65</v>
      </c>
      <c r="F23" s="15">
        <v>2.28</v>
      </c>
      <c r="G23" s="17">
        <f t="shared" si="1"/>
        <v>0.6622807018</v>
      </c>
      <c r="H23" s="15">
        <v>0.77</v>
      </c>
      <c r="I23" s="18">
        <f>SUMIFS('January 2026 bills'!$I$11:$I$50,'January 2026 bills'!$L$11:$L$50,$A23)</f>
        <v>66</v>
      </c>
      <c r="J23" s="12">
        <f t="shared" si="2"/>
        <v>50.82</v>
      </c>
      <c r="K23" s="20">
        <f t="shared" si="3"/>
        <v>559.3492121</v>
      </c>
      <c r="L23" s="12">
        <f t="shared" si="4"/>
        <v>430.6988933</v>
      </c>
    </row>
    <row r="24" ht="15.75" customHeight="1">
      <c r="A24" s="8" t="s">
        <v>109</v>
      </c>
      <c r="B24" s="8" t="s">
        <v>106</v>
      </c>
      <c r="C24" s="8" t="s">
        <v>107</v>
      </c>
      <c r="D24" s="8" t="s">
        <v>106</v>
      </c>
      <c r="E24" s="8" t="s">
        <v>65</v>
      </c>
      <c r="F24" s="15">
        <v>1.08</v>
      </c>
      <c r="G24" s="17">
        <f t="shared" si="1"/>
        <v>0.6574074074</v>
      </c>
      <c r="H24" s="15">
        <v>0.37</v>
      </c>
      <c r="I24" s="18">
        <f>SUMIFS('January 2026 bills'!$I$11:$I$50,'January 2026 bills'!$L$11:$L$50,$A24)</f>
        <v>12970</v>
      </c>
      <c r="J24" s="12">
        <f t="shared" si="2"/>
        <v>4798.9</v>
      </c>
      <c r="K24" s="20">
        <f t="shared" si="3"/>
        <v>109920.5952</v>
      </c>
      <c r="L24" s="12">
        <f t="shared" si="4"/>
        <v>40670.62021</v>
      </c>
    </row>
    <row r="25" ht="15.75" customHeight="1">
      <c r="A25" s="8" t="s">
        <v>115</v>
      </c>
      <c r="B25" s="8" t="s">
        <v>116</v>
      </c>
      <c r="C25" s="8" t="s">
        <v>117</v>
      </c>
      <c r="D25" s="8" t="s">
        <v>116</v>
      </c>
      <c r="E25" s="8" t="s">
        <v>65</v>
      </c>
      <c r="F25" s="15">
        <v>1.53</v>
      </c>
      <c r="G25" s="17">
        <f t="shared" si="1"/>
        <v>0.5098039216</v>
      </c>
      <c r="H25" s="15">
        <v>0.75</v>
      </c>
      <c r="I25" s="18">
        <f>SUMIFS('January 2026 bills'!$I$11:$I$50,'January 2026 bills'!$L$11:$L$50,$A25)</f>
        <v>70</v>
      </c>
      <c r="J25" s="12">
        <f t="shared" si="2"/>
        <v>52.5</v>
      </c>
      <c r="K25" s="20">
        <f t="shared" si="3"/>
        <v>593.2491643</v>
      </c>
      <c r="L25" s="12">
        <f t="shared" si="4"/>
        <v>444.9368733</v>
      </c>
    </row>
    <row r="26" ht="15.75" customHeight="1">
      <c r="A26" s="8" t="s">
        <v>122</v>
      </c>
      <c r="B26" s="8" t="s">
        <v>111</v>
      </c>
      <c r="C26" s="8" t="s">
        <v>113</v>
      </c>
      <c r="D26" s="8" t="s">
        <v>114</v>
      </c>
      <c r="E26" s="8" t="s">
        <v>65</v>
      </c>
      <c r="F26" s="15">
        <v>1.36</v>
      </c>
      <c r="G26" s="17">
        <f t="shared" si="1"/>
        <v>0.625</v>
      </c>
      <c r="H26" s="15">
        <v>0.51</v>
      </c>
      <c r="I26" s="18">
        <f>SUMIFS('January 2026 bills'!$I$11:$I$50,'January 2026 bills'!$L$11:$L$50,$A26)</f>
        <v>0</v>
      </c>
      <c r="J26" s="12">
        <f t="shared" si="2"/>
        <v>0</v>
      </c>
      <c r="K26" s="20">
        <f t="shared" si="3"/>
        <v>0</v>
      </c>
      <c r="L26" s="12">
        <f t="shared" si="4"/>
        <v>0</v>
      </c>
    </row>
    <row r="27" ht="15.75" customHeight="1">
      <c r="A27" s="8" t="s">
        <v>127</v>
      </c>
      <c r="B27" s="8" t="s">
        <v>129</v>
      </c>
      <c r="C27" s="8" t="s">
        <v>130</v>
      </c>
      <c r="D27" s="8" t="s">
        <v>129</v>
      </c>
      <c r="E27" s="8" t="s">
        <v>65</v>
      </c>
      <c r="F27" s="15">
        <v>2.28</v>
      </c>
      <c r="G27" s="17">
        <f t="shared" si="1"/>
        <v>0.2280701754</v>
      </c>
      <c r="H27" s="15">
        <v>1.76</v>
      </c>
      <c r="I27" s="18">
        <f>SUMIFS('January 2026 bills'!$I$11:$I$50,'January 2026 bills'!$L$11:$L$50,$A27)</f>
        <v>0</v>
      </c>
      <c r="J27" s="12">
        <f t="shared" si="2"/>
        <v>0</v>
      </c>
      <c r="K27" s="20">
        <f t="shared" si="3"/>
        <v>0</v>
      </c>
      <c r="L27" s="12">
        <f t="shared" si="4"/>
        <v>0</v>
      </c>
    </row>
    <row r="28" ht="15.75" customHeight="1">
      <c r="A28" s="8" t="s">
        <v>134</v>
      </c>
      <c r="B28" s="8" t="s">
        <v>132</v>
      </c>
      <c r="C28" s="8" t="s">
        <v>133</v>
      </c>
      <c r="D28" s="8" t="s">
        <v>132</v>
      </c>
      <c r="E28" s="8" t="s">
        <v>65</v>
      </c>
      <c r="F28" s="15">
        <v>0.0</v>
      </c>
      <c r="G28" s="17">
        <f t="shared" si="1"/>
        <v>0</v>
      </c>
      <c r="H28" s="15">
        <v>0.0</v>
      </c>
      <c r="I28" s="18">
        <f>SUMIFS('January 2026 bills'!$I$11:$I$50,'January 2026 bills'!$L$11:$L$50,$A28)</f>
        <v>2</v>
      </c>
      <c r="J28" s="12">
        <f t="shared" si="2"/>
        <v>0</v>
      </c>
      <c r="K28" s="20">
        <f t="shared" si="3"/>
        <v>0</v>
      </c>
      <c r="L28" s="12">
        <f t="shared" si="4"/>
        <v>0</v>
      </c>
    </row>
    <row r="29" ht="15.75" customHeight="1">
      <c r="A29" s="8" t="s">
        <v>139</v>
      </c>
      <c r="B29" s="8" t="s">
        <v>119</v>
      </c>
      <c r="C29" s="8" t="s">
        <v>120</v>
      </c>
      <c r="D29" s="8" t="s">
        <v>119</v>
      </c>
      <c r="E29" s="8" t="s">
        <v>65</v>
      </c>
      <c r="F29" s="15">
        <v>0.0</v>
      </c>
      <c r="G29" s="17">
        <f t="shared" si="1"/>
        <v>0</v>
      </c>
      <c r="H29" s="15">
        <v>0.0</v>
      </c>
      <c r="I29" s="18">
        <f>SUMIFS('January 2026 bills'!$I$11:$I$50,'January 2026 bills'!$L$11:$L$50,$A29)</f>
        <v>27232</v>
      </c>
      <c r="J29" s="12">
        <f t="shared" si="2"/>
        <v>0</v>
      </c>
      <c r="K29" s="20">
        <f t="shared" si="3"/>
        <v>0</v>
      </c>
      <c r="L29" s="12">
        <f t="shared" si="4"/>
        <v>0</v>
      </c>
    </row>
    <row r="30" ht="15.75" customHeight="1">
      <c r="A30" s="8" t="s">
        <v>142</v>
      </c>
      <c r="B30" s="8" t="s">
        <v>124</v>
      </c>
      <c r="C30" s="8" t="s">
        <v>125</v>
      </c>
      <c r="D30" s="8" t="s">
        <v>124</v>
      </c>
      <c r="E30" s="8" t="s">
        <v>65</v>
      </c>
      <c r="F30" s="15">
        <v>0.0</v>
      </c>
      <c r="G30" s="17">
        <f t="shared" si="1"/>
        <v>0</v>
      </c>
      <c r="H30" s="15">
        <v>0.0</v>
      </c>
      <c r="I30" s="18">
        <f>SUMIFS('January 2026 bills'!$I$11:$I$50,'January 2026 bills'!$L$11:$L$50,$A30)</f>
        <v>0</v>
      </c>
      <c r="J30" s="12">
        <f t="shared" si="2"/>
        <v>0</v>
      </c>
      <c r="K30" s="20">
        <f t="shared" si="3"/>
        <v>0</v>
      </c>
      <c r="L30" s="12">
        <f t="shared" si="4"/>
        <v>0</v>
      </c>
    </row>
    <row r="31" ht="15.75" customHeight="1">
      <c r="A31" s="8" t="s">
        <v>144</v>
      </c>
      <c r="B31" s="8" t="s">
        <v>137</v>
      </c>
      <c r="C31" s="8" t="s">
        <v>138</v>
      </c>
      <c r="D31" s="8" t="s">
        <v>137</v>
      </c>
      <c r="E31" s="8" t="s">
        <v>65</v>
      </c>
      <c r="F31" s="15">
        <v>0.0</v>
      </c>
      <c r="G31" s="17">
        <f t="shared" si="1"/>
        <v>0</v>
      </c>
      <c r="H31" s="15">
        <v>0.0</v>
      </c>
      <c r="I31" s="18">
        <f>SUMIFS('January 2026 bills'!$I$11:$I$50,'January 2026 bills'!$L$11:$L$50,$A31)</f>
        <v>0</v>
      </c>
      <c r="J31" s="12">
        <f t="shared" si="2"/>
        <v>0</v>
      </c>
      <c r="K31" s="20">
        <f t="shared" si="3"/>
        <v>0</v>
      </c>
      <c r="L31" s="12">
        <f t="shared" si="4"/>
        <v>0</v>
      </c>
    </row>
    <row r="32" ht="15.75" customHeight="1">
      <c r="A32" s="10" t="s">
        <v>141</v>
      </c>
      <c r="B32" s="10"/>
      <c r="C32" s="10"/>
      <c r="D32" s="10"/>
      <c r="E32" s="10"/>
      <c r="F32" s="10"/>
      <c r="G32" s="10"/>
      <c r="H32" s="10"/>
      <c r="I32" s="10"/>
      <c r="J32" s="25">
        <f>SUM(J20:J31)</f>
        <v>23747.86</v>
      </c>
      <c r="K32" s="10"/>
      <c r="L32" s="25">
        <f>SUM(L20:L31)</f>
        <v>201262.83</v>
      </c>
    </row>
    <row r="33" ht="15.75" customHeight="1">
      <c r="A33" s="26" t="s">
        <v>145</v>
      </c>
      <c r="L33" s="12">
        <f>ROUND(L32-B14,2)</f>
        <v>0</v>
      </c>
    </row>
    <row r="34" ht="15.75" customHeight="1"/>
    <row r="35" ht="15.75" customHeight="1">
      <c r="A35" s="13" t="s">
        <v>146</v>
      </c>
    </row>
    <row r="36" ht="15.75" customHeight="1">
      <c r="A36" s="26" t="s">
        <v>147</v>
      </c>
    </row>
    <row r="37" ht="15.75" customHeight="1">
      <c r="A37" s="26" t="s">
        <v>148</v>
      </c>
    </row>
    <row r="38" ht="15.75" customHeight="1">
      <c r="A38" s="26" t="s">
        <v>149</v>
      </c>
    </row>
    <row r="39" ht="15.75" customHeight="1">
      <c r="A39" s="26" t="s">
        <v>151</v>
      </c>
    </row>
    <row r="40" ht="15.75" customHeight="1">
      <c r="A40" s="26" t="s">
        <v>152</v>
      </c>
    </row>
    <row r="41" ht="15.75" customHeight="1">
      <c r="A41" s="26" t="s">
        <v>159</v>
      </c>
    </row>
    <row r="42" ht="15.75" customHeight="1">
      <c r="A42" s="26" t="s">
        <v>160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42.0"/>
    <col customWidth="1" min="4" max="4" width="36.0"/>
    <col customWidth="1" min="5" max="5" width="16.0"/>
    <col customWidth="1" min="6" max="6" width="12.0"/>
    <col customWidth="1" min="7" max="7" width="10.0"/>
    <col customWidth="1" min="8" max="8" width="12.0"/>
    <col customWidth="1" min="9" max="9" width="14.0"/>
    <col customWidth="1" min="10" max="10" width="15.0"/>
    <col customWidth="1" min="11" max="12" width="16.0"/>
    <col customWidth="1" min="13" max="26" width="8.71"/>
  </cols>
  <sheetData>
    <row r="1">
      <c r="A1" s="1" t="s">
        <v>0</v>
      </c>
    </row>
    <row r="2">
      <c r="A2" s="2" t="s">
        <v>4</v>
      </c>
    </row>
    <row r="3">
      <c r="A3" s="2" t="s">
        <v>5</v>
      </c>
    </row>
    <row r="4">
      <c r="A4" s="3" t="s">
        <v>7</v>
      </c>
      <c r="B4" s="4" t="s">
        <v>13</v>
      </c>
    </row>
    <row r="5">
      <c r="A5" s="3" t="s">
        <v>14</v>
      </c>
      <c r="B5" s="4" t="s">
        <v>15</v>
      </c>
    </row>
    <row r="6">
      <c r="A6" s="3" t="s">
        <v>17</v>
      </c>
      <c r="B6" s="4" t="s">
        <v>21</v>
      </c>
    </row>
    <row r="7">
      <c r="A7" s="3" t="s">
        <v>20</v>
      </c>
      <c r="B7" s="4" t="s">
        <v>22</v>
      </c>
    </row>
    <row r="8">
      <c r="A8" s="3" t="s">
        <v>23</v>
      </c>
      <c r="B8" s="6">
        <v>45685.0</v>
      </c>
    </row>
    <row r="9">
      <c r="A9" s="3" t="s">
        <v>24</v>
      </c>
      <c r="B9" s="6">
        <v>46050.0</v>
      </c>
    </row>
    <row r="10">
      <c r="A10" s="3" t="s">
        <v>27</v>
      </c>
      <c r="B10" s="7">
        <v>12.0</v>
      </c>
    </row>
    <row r="11">
      <c r="A11" s="3" t="s">
        <v>33</v>
      </c>
      <c r="B11" s="4" t="s">
        <v>34</v>
      </c>
    </row>
    <row r="12">
      <c r="A12" s="3" t="s">
        <v>35</v>
      </c>
      <c r="B12" s="4" t="s">
        <v>36</v>
      </c>
    </row>
    <row r="13">
      <c r="A13" s="3" t="s">
        <v>37</v>
      </c>
      <c r="B13" s="4" t="s">
        <v>38</v>
      </c>
    </row>
    <row r="14">
      <c r="A14" s="3" t="s">
        <v>40</v>
      </c>
      <c r="B14" s="9">
        <v>390580.54</v>
      </c>
    </row>
    <row r="15">
      <c r="A15" s="3" t="s">
        <v>41</v>
      </c>
      <c r="B15" s="9">
        <v>0.0</v>
      </c>
    </row>
    <row r="16">
      <c r="A16" s="10" t="s">
        <v>42</v>
      </c>
      <c r="B16" s="11">
        <f>B14+B15</f>
        <v>390580.54</v>
      </c>
    </row>
    <row r="18">
      <c r="A18" s="13" t="s">
        <v>43</v>
      </c>
    </row>
    <row r="19" ht="42.0" customHeight="1">
      <c r="A19" s="5" t="s">
        <v>44</v>
      </c>
      <c r="B19" s="5" t="s">
        <v>45</v>
      </c>
      <c r="C19" s="5" t="s">
        <v>46</v>
      </c>
      <c r="D19" s="5" t="s">
        <v>47</v>
      </c>
      <c r="E19" s="5" t="s">
        <v>48</v>
      </c>
      <c r="F19" s="5" t="s">
        <v>49</v>
      </c>
      <c r="G19" s="5" t="s">
        <v>50</v>
      </c>
      <c r="H19" s="5" t="s">
        <v>51</v>
      </c>
      <c r="I19" s="5" t="s">
        <v>52</v>
      </c>
      <c r="J19" s="5" t="s">
        <v>53</v>
      </c>
      <c r="K19" s="14" t="s">
        <v>54</v>
      </c>
      <c r="L19" s="14" t="s">
        <v>55</v>
      </c>
    </row>
    <row r="20">
      <c r="A20" s="8" t="s">
        <v>60</v>
      </c>
      <c r="B20" s="8" t="s">
        <v>64</v>
      </c>
      <c r="C20" s="8" t="s">
        <v>59</v>
      </c>
      <c r="D20" s="8" t="s">
        <v>61</v>
      </c>
      <c r="E20" s="8" t="s">
        <v>63</v>
      </c>
      <c r="F20" s="15">
        <v>2.28</v>
      </c>
      <c r="G20" s="17">
        <f t="shared" ref="G20:G30" si="1">IF(F20=0,0,1-H20/F20)</f>
        <v>0.7236842105</v>
      </c>
      <c r="H20" s="15">
        <v>0.63</v>
      </c>
      <c r="I20" s="18">
        <f>SUMIFS('January 2026 bills'!$I$11:$I$50,'January 2026 bills'!$L$11:$L$50,$A20)</f>
        <v>34720</v>
      </c>
      <c r="J20" s="12">
        <f t="shared" ref="J20:J30" si="2">I20*H20</f>
        <v>21873.6</v>
      </c>
      <c r="K20" s="20">
        <f t="shared" ref="K20:K30" si="3">IF(OR(H20=0,$J$31=0),0,$B$14*J20/$J$31/H20)</f>
        <v>202513.1415</v>
      </c>
      <c r="L20" s="12">
        <f t="shared" ref="L20:L30" si="4">K20*H20</f>
        <v>127583.2791</v>
      </c>
    </row>
    <row r="21" ht="15.75" customHeight="1">
      <c r="A21" s="8" t="s">
        <v>85</v>
      </c>
      <c r="B21" s="8" t="s">
        <v>87</v>
      </c>
      <c r="C21" s="8" t="s">
        <v>88</v>
      </c>
      <c r="D21" s="8" t="s">
        <v>61</v>
      </c>
      <c r="E21" s="8" t="s">
        <v>84</v>
      </c>
      <c r="F21" s="15">
        <v>2.28</v>
      </c>
      <c r="G21" s="17">
        <f t="shared" si="1"/>
        <v>0.4736842105</v>
      </c>
      <c r="H21" s="15">
        <v>1.2</v>
      </c>
      <c r="I21" s="18">
        <f>SUMIFS('January 2026 bills'!$I$11:$I$50,'January 2026 bills'!$L$11:$L$50,$A21)</f>
        <v>1405</v>
      </c>
      <c r="J21" s="12">
        <f t="shared" si="2"/>
        <v>1686</v>
      </c>
      <c r="K21" s="20">
        <f t="shared" si="3"/>
        <v>8195.016239</v>
      </c>
      <c r="L21" s="12">
        <f t="shared" si="4"/>
        <v>9834.019486</v>
      </c>
    </row>
    <row r="22" ht="15.75" customHeight="1">
      <c r="A22" s="8" t="s">
        <v>97</v>
      </c>
      <c r="B22" s="8" t="s">
        <v>98</v>
      </c>
      <c r="C22" s="8" t="s">
        <v>99</v>
      </c>
      <c r="D22" s="8" t="s">
        <v>61</v>
      </c>
      <c r="E22" s="8" t="s">
        <v>100</v>
      </c>
      <c r="F22" s="15">
        <v>2.28</v>
      </c>
      <c r="G22" s="17">
        <f t="shared" si="1"/>
        <v>0.7236842105</v>
      </c>
      <c r="H22" s="15">
        <v>0.63</v>
      </c>
      <c r="I22" s="18">
        <f>SUMIFS('January 2026 bills'!$I$11:$I$50,'January 2026 bills'!$L$11:$L$50,$A22)</f>
        <v>7312</v>
      </c>
      <c r="J22" s="12">
        <f t="shared" si="2"/>
        <v>4606.56</v>
      </c>
      <c r="K22" s="20">
        <f t="shared" si="3"/>
        <v>42649.08095</v>
      </c>
      <c r="L22" s="12">
        <f t="shared" si="4"/>
        <v>26868.921</v>
      </c>
    </row>
    <row r="23" ht="15.75" customHeight="1">
      <c r="A23" s="8" t="s">
        <v>108</v>
      </c>
      <c r="B23" s="8" t="s">
        <v>92</v>
      </c>
      <c r="C23" s="8" t="s">
        <v>59</v>
      </c>
      <c r="D23" s="8" t="s">
        <v>93</v>
      </c>
      <c r="E23" s="8" t="s">
        <v>63</v>
      </c>
      <c r="F23" s="15">
        <v>2.28</v>
      </c>
      <c r="G23" s="17">
        <f t="shared" si="1"/>
        <v>0.7236842105</v>
      </c>
      <c r="H23" s="15">
        <v>0.63</v>
      </c>
      <c r="I23" s="18">
        <f>SUMIFS('January 2026 bills'!$I$11:$I$50,'January 2026 bills'!$L$11:$L$50,$A23)</f>
        <v>3306</v>
      </c>
      <c r="J23" s="12">
        <f t="shared" si="2"/>
        <v>2082.78</v>
      </c>
      <c r="K23" s="20">
        <f t="shared" si="3"/>
        <v>19283.07736</v>
      </c>
      <c r="L23" s="12">
        <f t="shared" si="4"/>
        <v>12148.33873</v>
      </c>
    </row>
    <row r="24" ht="15.75" customHeight="1">
      <c r="A24" s="8" t="s">
        <v>112</v>
      </c>
      <c r="B24" s="8" t="s">
        <v>102</v>
      </c>
      <c r="C24" s="8" t="s">
        <v>88</v>
      </c>
      <c r="D24" s="8" t="s">
        <v>93</v>
      </c>
      <c r="E24" s="8" t="s">
        <v>84</v>
      </c>
      <c r="F24" s="15">
        <v>2.28</v>
      </c>
      <c r="G24" s="17">
        <f t="shared" si="1"/>
        <v>0.4736842105</v>
      </c>
      <c r="H24" s="15">
        <v>1.2</v>
      </c>
      <c r="I24" s="18">
        <f>SUMIFS('January 2026 bills'!$I$11:$I$50,'January 2026 bills'!$L$11:$L$50,$A24)</f>
        <v>0</v>
      </c>
      <c r="J24" s="12">
        <f t="shared" si="2"/>
        <v>0</v>
      </c>
      <c r="K24" s="20">
        <f t="shared" si="3"/>
        <v>0</v>
      </c>
      <c r="L24" s="12">
        <f t="shared" si="4"/>
        <v>0</v>
      </c>
    </row>
    <row r="25" ht="15.75" customHeight="1">
      <c r="A25" s="8" t="s">
        <v>121</v>
      </c>
      <c r="B25" s="8" t="s">
        <v>106</v>
      </c>
      <c r="C25" s="8" t="s">
        <v>107</v>
      </c>
      <c r="D25" s="8" t="s">
        <v>106</v>
      </c>
      <c r="E25" s="8" t="s">
        <v>65</v>
      </c>
      <c r="F25" s="15">
        <v>1.08</v>
      </c>
      <c r="G25" s="17">
        <f t="shared" si="1"/>
        <v>0.6296296296</v>
      </c>
      <c r="H25" s="15">
        <v>0.4</v>
      </c>
      <c r="I25" s="18">
        <f>SUMIFS('January 2026 bills'!$I$11:$I$50,'January 2026 bills'!$L$11:$L$50,$A25)</f>
        <v>45377</v>
      </c>
      <c r="J25" s="12">
        <f t="shared" si="2"/>
        <v>18150.8</v>
      </c>
      <c r="K25" s="20">
        <f t="shared" si="3"/>
        <v>264672.7771</v>
      </c>
      <c r="L25" s="12">
        <f t="shared" si="4"/>
        <v>105869.1109</v>
      </c>
    </row>
    <row r="26" ht="15.75" customHeight="1">
      <c r="A26" s="8" t="s">
        <v>126</v>
      </c>
      <c r="B26" s="8" t="s">
        <v>114</v>
      </c>
      <c r="C26" s="8" t="s">
        <v>128</v>
      </c>
      <c r="D26" s="8" t="s">
        <v>114</v>
      </c>
      <c r="E26" s="8" t="s">
        <v>65</v>
      </c>
      <c r="F26" s="15">
        <v>1.36</v>
      </c>
      <c r="G26" s="17">
        <f t="shared" si="1"/>
        <v>0.7058823529</v>
      </c>
      <c r="H26" s="15">
        <v>0.4</v>
      </c>
      <c r="I26" s="18">
        <f>SUMIFS('January 2026 bills'!$I$11:$I$50,'January 2026 bills'!$L$11:$L$50,$A26)</f>
        <v>46409</v>
      </c>
      <c r="J26" s="12">
        <f t="shared" si="2"/>
        <v>18563.6</v>
      </c>
      <c r="K26" s="20">
        <f t="shared" si="3"/>
        <v>270692.177</v>
      </c>
      <c r="L26" s="12">
        <f t="shared" si="4"/>
        <v>108276.8708</v>
      </c>
    </row>
    <row r="27" ht="15.75" customHeight="1">
      <c r="A27" s="8" t="s">
        <v>135</v>
      </c>
      <c r="B27" s="8" t="s">
        <v>119</v>
      </c>
      <c r="C27" s="8" t="s">
        <v>120</v>
      </c>
      <c r="D27" s="8" t="s">
        <v>119</v>
      </c>
      <c r="E27" s="8" t="s">
        <v>65</v>
      </c>
      <c r="F27" s="15">
        <v>0.0</v>
      </c>
      <c r="G27" s="17">
        <f t="shared" si="1"/>
        <v>0</v>
      </c>
      <c r="H27" s="15">
        <v>0.0</v>
      </c>
      <c r="I27" s="18">
        <f>SUMIFS('January 2026 bills'!$I$11:$I$50,'January 2026 bills'!$L$11:$L$50,$A27)</f>
        <v>41689</v>
      </c>
      <c r="J27" s="12">
        <f t="shared" si="2"/>
        <v>0</v>
      </c>
      <c r="K27" s="20">
        <f t="shared" si="3"/>
        <v>0</v>
      </c>
      <c r="L27" s="12">
        <f t="shared" si="4"/>
        <v>0</v>
      </c>
    </row>
    <row r="28" ht="15.75" customHeight="1">
      <c r="A28" s="8" t="s">
        <v>140</v>
      </c>
      <c r="B28" s="8" t="s">
        <v>124</v>
      </c>
      <c r="C28" s="8" t="s">
        <v>125</v>
      </c>
      <c r="D28" s="8" t="s">
        <v>124</v>
      </c>
      <c r="E28" s="8" t="s">
        <v>65</v>
      </c>
      <c r="F28" s="15">
        <v>0.0</v>
      </c>
      <c r="G28" s="17">
        <f t="shared" si="1"/>
        <v>0</v>
      </c>
      <c r="H28" s="15">
        <v>0.0</v>
      </c>
      <c r="I28" s="18">
        <f>SUMIFS('January 2026 bills'!$I$11:$I$50,'January 2026 bills'!$L$11:$L$50,$A28)</f>
        <v>50028</v>
      </c>
      <c r="J28" s="12">
        <f t="shared" si="2"/>
        <v>0</v>
      </c>
      <c r="K28" s="20">
        <f t="shared" si="3"/>
        <v>0</v>
      </c>
      <c r="L28" s="12">
        <f t="shared" si="4"/>
        <v>0</v>
      </c>
    </row>
    <row r="29" ht="15.75" customHeight="1">
      <c r="A29" s="8" t="s">
        <v>143</v>
      </c>
      <c r="B29" s="8" t="s">
        <v>132</v>
      </c>
      <c r="C29" s="8" t="s">
        <v>133</v>
      </c>
      <c r="D29" s="8" t="s">
        <v>132</v>
      </c>
      <c r="E29" s="8" t="s">
        <v>65</v>
      </c>
      <c r="F29" s="15">
        <v>0.0</v>
      </c>
      <c r="G29" s="17">
        <f t="shared" si="1"/>
        <v>0</v>
      </c>
      <c r="H29" s="15">
        <v>0.0</v>
      </c>
      <c r="I29" s="18">
        <f>SUMIFS('January 2026 bills'!$I$11:$I$50,'January 2026 bills'!$L$11:$L$50,$A29)</f>
        <v>0</v>
      </c>
      <c r="J29" s="12">
        <f t="shared" si="2"/>
        <v>0</v>
      </c>
      <c r="K29" s="20">
        <f t="shared" si="3"/>
        <v>0</v>
      </c>
      <c r="L29" s="12">
        <f t="shared" si="4"/>
        <v>0</v>
      </c>
    </row>
    <row r="30" ht="15.75" customHeight="1">
      <c r="A30" s="8" t="s">
        <v>150</v>
      </c>
      <c r="B30" s="8" t="s">
        <v>137</v>
      </c>
      <c r="C30" s="8" t="s">
        <v>138</v>
      </c>
      <c r="D30" s="8" t="s">
        <v>137</v>
      </c>
      <c r="E30" s="8" t="s">
        <v>65</v>
      </c>
      <c r="F30" s="15">
        <v>0.0</v>
      </c>
      <c r="G30" s="17">
        <f t="shared" si="1"/>
        <v>0</v>
      </c>
      <c r="H30" s="15">
        <v>0.0</v>
      </c>
      <c r="I30" s="18">
        <f>SUMIFS('January 2026 bills'!$I$11:$I$50,'January 2026 bills'!$L$11:$L$50,$A30)</f>
        <v>0</v>
      </c>
      <c r="J30" s="12">
        <f t="shared" si="2"/>
        <v>0</v>
      </c>
      <c r="K30" s="20">
        <f t="shared" si="3"/>
        <v>0</v>
      </c>
      <c r="L30" s="12">
        <f t="shared" si="4"/>
        <v>0</v>
      </c>
    </row>
    <row r="31" ht="15.75" customHeight="1">
      <c r="A31" s="10" t="s">
        <v>141</v>
      </c>
      <c r="B31" s="10"/>
      <c r="C31" s="10"/>
      <c r="D31" s="10"/>
      <c r="E31" s="10"/>
      <c r="F31" s="10"/>
      <c r="G31" s="10"/>
      <c r="H31" s="10"/>
      <c r="I31" s="10"/>
      <c r="J31" s="25">
        <f>SUM(J20:J30)</f>
        <v>66963.34</v>
      </c>
      <c r="K31" s="10"/>
      <c r="L31" s="25">
        <f>SUM(L20:L30)</f>
        <v>390580.54</v>
      </c>
    </row>
    <row r="32" ht="15.75" customHeight="1">
      <c r="A32" s="26" t="s">
        <v>145</v>
      </c>
      <c r="L32" s="12">
        <f>ROUND(L31-B14,2)</f>
        <v>0</v>
      </c>
    </row>
    <row r="33" ht="15.75" customHeight="1"/>
    <row r="34" ht="15.75" customHeight="1">
      <c r="A34" s="13" t="s">
        <v>146</v>
      </c>
    </row>
    <row r="35" ht="15.75" customHeight="1">
      <c r="A35" s="26" t="s">
        <v>147</v>
      </c>
    </row>
    <row r="36" ht="15.75" customHeight="1">
      <c r="A36" s="26" t="s">
        <v>148</v>
      </c>
    </row>
    <row r="37" ht="15.75" customHeight="1">
      <c r="A37" s="26" t="s">
        <v>149</v>
      </c>
    </row>
    <row r="38" ht="15.75" customHeight="1">
      <c r="A38" s="26" t="s">
        <v>151</v>
      </c>
    </row>
    <row r="39" ht="15.75" customHeight="1">
      <c r="A39" s="26" t="s">
        <v>152</v>
      </c>
    </row>
    <row r="40" ht="15.75" customHeight="1">
      <c r="A40" s="26" t="s">
        <v>162</v>
      </c>
    </row>
    <row r="41" ht="15.75" customHeight="1">
      <c r="A41" s="26" t="s">
        <v>163</v>
      </c>
    </row>
    <row r="42" ht="15.75" customHeight="1">
      <c r="A42" s="26" t="s">
        <v>164</v>
      </c>
    </row>
    <row r="43" ht="15.75" customHeight="1">
      <c r="A43" s="26" t="s">
        <v>165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42.0"/>
    <col customWidth="1" min="4" max="4" width="36.0"/>
    <col customWidth="1" min="5" max="5" width="16.0"/>
    <col customWidth="1" min="6" max="6" width="12.0"/>
    <col customWidth="1" min="7" max="7" width="10.0"/>
    <col customWidth="1" min="8" max="8" width="12.0"/>
    <col customWidth="1" min="9" max="9" width="14.0"/>
    <col customWidth="1" min="10" max="10" width="15.0"/>
    <col customWidth="1" min="11" max="12" width="16.0"/>
    <col customWidth="1" min="13" max="26" width="8.71"/>
  </cols>
  <sheetData>
    <row r="1">
      <c r="A1" s="1" t="s">
        <v>2</v>
      </c>
    </row>
    <row r="2">
      <c r="A2" s="2" t="s">
        <v>4</v>
      </c>
    </row>
    <row r="3">
      <c r="A3" s="2" t="s">
        <v>5</v>
      </c>
    </row>
    <row r="4">
      <c r="A4" s="3" t="s">
        <v>7</v>
      </c>
      <c r="B4" s="4" t="s">
        <v>13</v>
      </c>
    </row>
    <row r="5">
      <c r="A5" s="3" t="s">
        <v>14</v>
      </c>
      <c r="B5" s="4" t="s">
        <v>15</v>
      </c>
    </row>
    <row r="6">
      <c r="A6" s="3" t="s">
        <v>17</v>
      </c>
      <c r="B6" s="4" t="s">
        <v>18</v>
      </c>
    </row>
    <row r="7">
      <c r="A7" s="3" t="s">
        <v>20</v>
      </c>
      <c r="B7" s="4" t="s">
        <v>22</v>
      </c>
    </row>
    <row r="8">
      <c r="A8" s="3" t="s">
        <v>23</v>
      </c>
      <c r="B8" s="6">
        <v>46049.0</v>
      </c>
    </row>
    <row r="9">
      <c r="A9" s="3" t="s">
        <v>24</v>
      </c>
      <c r="B9" s="6">
        <v>46414.0</v>
      </c>
    </row>
    <row r="10">
      <c r="A10" s="3" t="s">
        <v>27</v>
      </c>
      <c r="B10" s="7">
        <v>12.0</v>
      </c>
    </row>
    <row r="11">
      <c r="A11" s="3" t="s">
        <v>33</v>
      </c>
      <c r="B11" s="4" t="s">
        <v>34</v>
      </c>
    </row>
    <row r="12">
      <c r="A12" s="3" t="s">
        <v>35</v>
      </c>
      <c r="B12" s="4" t="s">
        <v>36</v>
      </c>
    </row>
    <row r="13">
      <c r="A13" s="3" t="s">
        <v>37</v>
      </c>
      <c r="B13" s="4" t="s">
        <v>38</v>
      </c>
    </row>
    <row r="14">
      <c r="A14" s="3" t="s">
        <v>40</v>
      </c>
      <c r="B14" s="9">
        <v>700181.6</v>
      </c>
    </row>
    <row r="15">
      <c r="A15" s="3" t="s">
        <v>41</v>
      </c>
      <c r="B15" s="9">
        <v>9600.0</v>
      </c>
    </row>
    <row r="16">
      <c r="A16" s="10" t="s">
        <v>42</v>
      </c>
      <c r="B16" s="11">
        <f>B14+B15</f>
        <v>709781.6</v>
      </c>
    </row>
    <row r="18">
      <c r="A18" s="13" t="s">
        <v>43</v>
      </c>
    </row>
    <row r="19" ht="42.0" customHeight="1">
      <c r="A19" s="5" t="s">
        <v>44</v>
      </c>
      <c r="B19" s="5" t="s">
        <v>45</v>
      </c>
      <c r="C19" s="5" t="s">
        <v>46</v>
      </c>
      <c r="D19" s="5" t="s">
        <v>47</v>
      </c>
      <c r="E19" s="5" t="s">
        <v>48</v>
      </c>
      <c r="F19" s="5" t="s">
        <v>49</v>
      </c>
      <c r="G19" s="5" t="s">
        <v>50</v>
      </c>
      <c r="H19" s="5" t="s">
        <v>51</v>
      </c>
      <c r="I19" s="5" t="s">
        <v>52</v>
      </c>
      <c r="J19" s="5" t="s">
        <v>53</v>
      </c>
      <c r="K19" s="14" t="s">
        <v>54</v>
      </c>
      <c r="L19" s="14" t="s">
        <v>55</v>
      </c>
    </row>
    <row r="20">
      <c r="A20" s="8" t="s">
        <v>56</v>
      </c>
      <c r="B20" s="8" t="s">
        <v>58</v>
      </c>
      <c r="C20" s="8" t="s">
        <v>59</v>
      </c>
      <c r="D20" s="8" t="s">
        <v>61</v>
      </c>
      <c r="E20" s="8" t="s">
        <v>63</v>
      </c>
      <c r="F20" s="15">
        <v>2.28</v>
      </c>
      <c r="G20" s="17">
        <f t="shared" ref="G20:G29" si="1">IF(F20=0,0,1-H20/F20)</f>
        <v>0.7631578947</v>
      </c>
      <c r="H20" s="15">
        <v>0.54</v>
      </c>
      <c r="I20" s="18">
        <f>SUMIFS('January 2026 bills'!$I$11:$I$50,'January 2026 bills'!$L$11:$L$50,$A20)</f>
        <v>8027</v>
      </c>
      <c r="J20" s="12">
        <f t="shared" ref="J20:J29" si="2">I20*H20</f>
        <v>4334.58</v>
      </c>
      <c r="K20" s="20">
        <f t="shared" ref="K20:K29" si="3">IF(OR(H20=0,$J$30=0),0,$B$14*J20/$J$30/H20)</f>
        <v>532399.7389</v>
      </c>
      <c r="L20" s="12">
        <f t="shared" ref="L20:L29" si="4">K20*H20</f>
        <v>287495.859</v>
      </c>
    </row>
    <row r="21" ht="15.75" customHeight="1">
      <c r="A21" s="8" t="s">
        <v>81</v>
      </c>
      <c r="B21" s="8" t="s">
        <v>82</v>
      </c>
      <c r="C21" s="8" t="s">
        <v>83</v>
      </c>
      <c r="D21" s="8" t="s">
        <v>61</v>
      </c>
      <c r="E21" s="8" t="s">
        <v>84</v>
      </c>
      <c r="F21" s="15">
        <v>2.28</v>
      </c>
      <c r="G21" s="17">
        <f t="shared" si="1"/>
        <v>0.4736842105</v>
      </c>
      <c r="H21" s="15">
        <v>1.2</v>
      </c>
      <c r="I21" s="18">
        <f>SUMIFS('January 2026 bills'!$I$11:$I$50,'January 2026 bills'!$L$11:$L$50,$A21)</f>
        <v>249</v>
      </c>
      <c r="J21" s="12">
        <f t="shared" si="2"/>
        <v>298.8</v>
      </c>
      <c r="K21" s="20">
        <f t="shared" si="3"/>
        <v>16515.20306</v>
      </c>
      <c r="L21" s="12">
        <f t="shared" si="4"/>
        <v>19818.24367</v>
      </c>
    </row>
    <row r="22" ht="15.75" customHeight="1">
      <c r="A22" s="8" t="s">
        <v>91</v>
      </c>
      <c r="B22" s="8" t="s">
        <v>92</v>
      </c>
      <c r="C22" s="8" t="s">
        <v>59</v>
      </c>
      <c r="D22" s="8" t="s">
        <v>93</v>
      </c>
      <c r="E22" s="8" t="s">
        <v>63</v>
      </c>
      <c r="F22" s="15">
        <v>2.28</v>
      </c>
      <c r="G22" s="17">
        <f t="shared" si="1"/>
        <v>0.7631578947</v>
      </c>
      <c r="H22" s="15">
        <v>0.54</v>
      </c>
      <c r="I22" s="18">
        <f>SUMIFS('January 2026 bills'!$I$11:$I$50,'January 2026 bills'!$L$11:$L$50,$A22)</f>
        <v>623</v>
      </c>
      <c r="J22" s="12">
        <f t="shared" si="2"/>
        <v>336.42</v>
      </c>
      <c r="K22" s="20">
        <f t="shared" si="3"/>
        <v>41321.17071</v>
      </c>
      <c r="L22" s="12">
        <f t="shared" si="4"/>
        <v>22313.43218</v>
      </c>
    </row>
    <row r="23" ht="15.75" customHeight="1">
      <c r="A23" s="8" t="s">
        <v>101</v>
      </c>
      <c r="B23" s="8" t="s">
        <v>102</v>
      </c>
      <c r="C23" s="8" t="s">
        <v>88</v>
      </c>
      <c r="D23" s="8" t="s">
        <v>93</v>
      </c>
      <c r="E23" s="8" t="s">
        <v>84</v>
      </c>
      <c r="F23" s="15">
        <v>2.28</v>
      </c>
      <c r="G23" s="17">
        <f t="shared" si="1"/>
        <v>0.4736842105</v>
      </c>
      <c r="H23" s="15">
        <v>1.2</v>
      </c>
      <c r="I23" s="18">
        <f>SUMIFS('January 2026 bills'!$I$11:$I$50,'January 2026 bills'!$L$11:$L$50,$A23)</f>
        <v>0</v>
      </c>
      <c r="J23" s="12">
        <f t="shared" si="2"/>
        <v>0</v>
      </c>
      <c r="K23" s="20">
        <f t="shared" si="3"/>
        <v>0</v>
      </c>
      <c r="L23" s="12">
        <f t="shared" si="4"/>
        <v>0</v>
      </c>
    </row>
    <row r="24" ht="15.75" customHeight="1">
      <c r="A24" s="8" t="s">
        <v>105</v>
      </c>
      <c r="B24" s="8" t="s">
        <v>106</v>
      </c>
      <c r="C24" s="8" t="s">
        <v>107</v>
      </c>
      <c r="D24" s="8" t="s">
        <v>106</v>
      </c>
      <c r="E24" s="8" t="s">
        <v>65</v>
      </c>
      <c r="F24" s="15">
        <v>1.08</v>
      </c>
      <c r="G24" s="17">
        <f t="shared" si="1"/>
        <v>0.7314814815</v>
      </c>
      <c r="H24" s="15">
        <v>0.29</v>
      </c>
      <c r="I24" s="18">
        <f>SUMIFS('January 2026 bills'!$I$11:$I$50,'January 2026 bills'!$L$11:$L$50,$A24)</f>
        <v>8650</v>
      </c>
      <c r="J24" s="12">
        <f t="shared" si="2"/>
        <v>2508.5</v>
      </c>
      <c r="K24" s="20">
        <f t="shared" si="3"/>
        <v>573720.9096</v>
      </c>
      <c r="L24" s="12">
        <f t="shared" si="4"/>
        <v>166379.0638</v>
      </c>
    </row>
    <row r="25" ht="15.75" customHeight="1">
      <c r="A25" s="8" t="s">
        <v>110</v>
      </c>
      <c r="B25" s="8" t="s">
        <v>111</v>
      </c>
      <c r="C25" s="8" t="s">
        <v>113</v>
      </c>
      <c r="D25" s="8" t="s">
        <v>114</v>
      </c>
      <c r="E25" s="8" t="s">
        <v>65</v>
      </c>
      <c r="F25" s="15">
        <v>1.36</v>
      </c>
      <c r="G25" s="17">
        <f t="shared" si="1"/>
        <v>0.7867647059</v>
      </c>
      <c r="H25" s="15">
        <v>0.29</v>
      </c>
      <c r="I25" s="18">
        <f>SUMIFS('January 2026 bills'!$I$11:$I$50,'January 2026 bills'!$L$11:$L$50,$A25)</f>
        <v>10615</v>
      </c>
      <c r="J25" s="12">
        <f t="shared" si="2"/>
        <v>3078.35</v>
      </c>
      <c r="K25" s="20">
        <f t="shared" si="3"/>
        <v>704051.7289</v>
      </c>
      <c r="L25" s="12">
        <f t="shared" si="4"/>
        <v>204175.0014</v>
      </c>
    </row>
    <row r="26" ht="15.75" customHeight="1">
      <c r="A26" s="8" t="s">
        <v>118</v>
      </c>
      <c r="B26" s="8" t="s">
        <v>119</v>
      </c>
      <c r="C26" s="8" t="s">
        <v>120</v>
      </c>
      <c r="D26" s="8" t="s">
        <v>119</v>
      </c>
      <c r="E26" s="8" t="s">
        <v>65</v>
      </c>
      <c r="F26" s="15">
        <v>0.0</v>
      </c>
      <c r="G26" s="17">
        <f t="shared" si="1"/>
        <v>0</v>
      </c>
      <c r="H26" s="15">
        <v>0.0</v>
      </c>
      <c r="I26" s="18">
        <f>SUMIFS('January 2026 bills'!$I$11:$I$50,'January 2026 bills'!$L$11:$L$50,$A26)</f>
        <v>7860</v>
      </c>
      <c r="J26" s="12">
        <f t="shared" si="2"/>
        <v>0</v>
      </c>
      <c r="K26" s="20">
        <f t="shared" si="3"/>
        <v>0</v>
      </c>
      <c r="L26" s="12">
        <f t="shared" si="4"/>
        <v>0</v>
      </c>
    </row>
    <row r="27" ht="15.75" customHeight="1">
      <c r="A27" s="8" t="s">
        <v>123</v>
      </c>
      <c r="B27" s="8" t="s">
        <v>124</v>
      </c>
      <c r="C27" s="8" t="s">
        <v>125</v>
      </c>
      <c r="D27" s="8" t="s">
        <v>124</v>
      </c>
      <c r="E27" s="8" t="s">
        <v>65</v>
      </c>
      <c r="F27" s="15">
        <v>0.0</v>
      </c>
      <c r="G27" s="17">
        <f t="shared" si="1"/>
        <v>0</v>
      </c>
      <c r="H27" s="15">
        <v>0.0</v>
      </c>
      <c r="I27" s="18">
        <f>SUMIFS('January 2026 bills'!$I$11:$I$50,'January 2026 bills'!$L$11:$L$50,$A27)</f>
        <v>11447</v>
      </c>
      <c r="J27" s="12">
        <f t="shared" si="2"/>
        <v>0</v>
      </c>
      <c r="K27" s="20">
        <f t="shared" si="3"/>
        <v>0</v>
      </c>
      <c r="L27" s="12">
        <f t="shared" si="4"/>
        <v>0</v>
      </c>
    </row>
    <row r="28" ht="15.75" customHeight="1">
      <c r="A28" s="8" t="s">
        <v>131</v>
      </c>
      <c r="B28" s="8" t="s">
        <v>132</v>
      </c>
      <c r="C28" s="8" t="s">
        <v>133</v>
      </c>
      <c r="D28" s="8" t="s">
        <v>132</v>
      </c>
      <c r="E28" s="8" t="s">
        <v>65</v>
      </c>
      <c r="F28" s="15">
        <v>0.0</v>
      </c>
      <c r="G28" s="17">
        <f t="shared" si="1"/>
        <v>0</v>
      </c>
      <c r="H28" s="15">
        <v>0.0</v>
      </c>
      <c r="I28" s="18">
        <f>SUMIFS('January 2026 bills'!$I$11:$I$50,'January 2026 bills'!$L$11:$L$50,$A28)</f>
        <v>0</v>
      </c>
      <c r="J28" s="12">
        <f t="shared" si="2"/>
        <v>0</v>
      </c>
      <c r="K28" s="20">
        <f t="shared" si="3"/>
        <v>0</v>
      </c>
      <c r="L28" s="12">
        <f t="shared" si="4"/>
        <v>0</v>
      </c>
    </row>
    <row r="29" ht="15.75" customHeight="1">
      <c r="A29" s="8" t="s">
        <v>136</v>
      </c>
      <c r="B29" s="8" t="s">
        <v>137</v>
      </c>
      <c r="C29" s="8" t="s">
        <v>138</v>
      </c>
      <c r="D29" s="8" t="s">
        <v>137</v>
      </c>
      <c r="E29" s="8" t="s">
        <v>65</v>
      </c>
      <c r="F29" s="15">
        <v>0.0</v>
      </c>
      <c r="G29" s="17">
        <f t="shared" si="1"/>
        <v>0</v>
      </c>
      <c r="H29" s="15">
        <v>0.0</v>
      </c>
      <c r="I29" s="18">
        <f>SUMIFS('January 2026 bills'!$I$11:$I$50,'January 2026 bills'!$L$11:$L$50,$A29)</f>
        <v>0</v>
      </c>
      <c r="J29" s="12">
        <f t="shared" si="2"/>
        <v>0</v>
      </c>
      <c r="K29" s="20">
        <f t="shared" si="3"/>
        <v>0</v>
      </c>
      <c r="L29" s="12">
        <f t="shared" si="4"/>
        <v>0</v>
      </c>
    </row>
    <row r="30" ht="15.75" customHeight="1">
      <c r="A30" s="10" t="s">
        <v>141</v>
      </c>
      <c r="B30" s="10"/>
      <c r="C30" s="10"/>
      <c r="D30" s="10"/>
      <c r="E30" s="10"/>
      <c r="F30" s="10"/>
      <c r="G30" s="10"/>
      <c r="H30" s="10"/>
      <c r="I30" s="10"/>
      <c r="J30" s="25">
        <f>SUM(J20:J29)</f>
        <v>10556.65</v>
      </c>
      <c r="K30" s="10"/>
      <c r="L30" s="25">
        <f>SUM(L20:L29)</f>
        <v>700181.6</v>
      </c>
    </row>
    <row r="31" ht="15.75" customHeight="1">
      <c r="A31" s="26" t="s">
        <v>145</v>
      </c>
      <c r="L31" s="12">
        <f>ROUND(L30-B14,2)</f>
        <v>0</v>
      </c>
    </row>
    <row r="32" ht="15.75" customHeight="1"/>
    <row r="33" ht="15.75" customHeight="1">
      <c r="A33" s="13" t="s">
        <v>146</v>
      </c>
    </row>
    <row r="34" ht="15.75" customHeight="1">
      <c r="A34" s="26" t="s">
        <v>147</v>
      </c>
    </row>
    <row r="35" ht="15.75" customHeight="1">
      <c r="A35" s="26" t="s">
        <v>148</v>
      </c>
    </row>
    <row r="36" ht="15.75" customHeight="1">
      <c r="A36" s="26" t="s">
        <v>149</v>
      </c>
    </row>
    <row r="37" ht="15.75" customHeight="1">
      <c r="A37" s="26" t="s">
        <v>151</v>
      </c>
    </row>
    <row r="38" ht="15.75" customHeight="1">
      <c r="A38" s="26" t="s">
        <v>152</v>
      </c>
    </row>
    <row r="39" ht="15.75" customHeight="1">
      <c r="A39" s="26" t="s">
        <v>153</v>
      </c>
    </row>
    <row r="40" ht="15.75" customHeight="1">
      <c r="A40" s="26" t="s">
        <v>154</v>
      </c>
    </row>
    <row r="41" ht="15.75" customHeight="1">
      <c r="A41" s="26" t="s">
        <v>155</v>
      </c>
    </row>
    <row r="42" ht="15.75" customHeight="1">
      <c r="A42" s="26" t="s">
        <v>156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2" width="22.0"/>
    <col customWidth="1" min="3" max="3" width="20.0"/>
    <col customWidth="1" min="4" max="5" width="36.0"/>
    <col customWidth="1" min="6" max="6" width="16.0"/>
    <col customWidth="1" min="7" max="8" width="14.0"/>
    <col customWidth="1" min="9" max="9" width="12.0"/>
    <col customWidth="1" min="10" max="10" width="13.0"/>
    <col customWidth="1" min="11" max="11" width="15.0"/>
    <col customWidth="1" min="12" max="12" width="11.0"/>
    <col customWidth="1" min="13" max="13" width="13.0"/>
    <col customWidth="1" min="14" max="14" width="15.0"/>
    <col customWidth="1" min="15" max="15" width="13.0"/>
    <col customWidth="1" min="16" max="16" width="44.0"/>
    <col customWidth="1" min="17" max="26" width="8.71"/>
  </cols>
  <sheetData>
    <row r="1">
      <c r="A1" s="1" t="s">
        <v>3</v>
      </c>
    </row>
    <row r="2">
      <c r="A2" s="2" t="s">
        <v>6</v>
      </c>
    </row>
    <row r="3">
      <c r="A3" s="2" t="s">
        <v>8</v>
      </c>
    </row>
    <row r="4">
      <c r="A4" s="2" t="s">
        <v>9</v>
      </c>
      <c r="C4" s="2" t="s">
        <v>10</v>
      </c>
      <c r="D4" s="2" t="s">
        <v>10</v>
      </c>
      <c r="E4" s="2" t="s">
        <v>12</v>
      </c>
    </row>
    <row r="5" ht="42.0" customHeight="1">
      <c r="A5" s="5" t="s">
        <v>7</v>
      </c>
      <c r="B5" s="5" t="s">
        <v>25</v>
      </c>
      <c r="C5" s="5" t="s">
        <v>26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</row>
    <row r="6">
      <c r="A6" s="8" t="s">
        <v>11</v>
      </c>
      <c r="B6" s="8" t="s">
        <v>39</v>
      </c>
      <c r="C6" s="12">
        <f t="shared" ref="C6:C7" si="2">SUMIFS($N$11:$N$50,$A$11:$A$50,$A6,$C$11:$C$50,C$4)</f>
        <v>23747.86</v>
      </c>
      <c r="D6" s="12">
        <f t="shared" ref="D6:E6" si="1">SUMIFS($K$11:$K$50,$A$11:$A$50,$A6,$C$11:$C$50,D$4)</f>
        <v>23747.86</v>
      </c>
      <c r="E6" s="12">
        <f t="shared" si="1"/>
        <v>-23747.86</v>
      </c>
      <c r="F6" s="12">
        <f t="shared" ref="F6:F7" si="4">C6+E6</f>
        <v>0</v>
      </c>
      <c r="G6" s="16">
        <v>0.0</v>
      </c>
      <c r="H6" s="12">
        <f t="shared" ref="H6:H7" si="5">ROUND(F6-G6,2)</f>
        <v>0</v>
      </c>
    </row>
    <row r="7">
      <c r="A7" s="8" t="s">
        <v>13</v>
      </c>
      <c r="B7" s="8" t="s">
        <v>66</v>
      </c>
      <c r="C7" s="12">
        <f t="shared" si="2"/>
        <v>77519.99</v>
      </c>
      <c r="D7" s="12">
        <f t="shared" ref="D7:E7" si="3">SUMIFS($K$11:$K$50,$A$11:$A$50,$A7,$C$11:$C$50,D$4)</f>
        <v>77519.99</v>
      </c>
      <c r="E7" s="12">
        <f t="shared" si="3"/>
        <v>-10556.65</v>
      </c>
      <c r="F7" s="12">
        <f t="shared" si="4"/>
        <v>66963.34</v>
      </c>
      <c r="G7" s="16">
        <v>66963.34</v>
      </c>
      <c r="H7" s="12">
        <f t="shared" si="5"/>
        <v>0</v>
      </c>
    </row>
    <row r="9">
      <c r="A9" s="13" t="s">
        <v>67</v>
      </c>
    </row>
    <row r="10" ht="42.0" customHeight="1">
      <c r="A10" s="5" t="s">
        <v>7</v>
      </c>
      <c r="B10" s="5" t="s">
        <v>68</v>
      </c>
      <c r="C10" s="5" t="s">
        <v>69</v>
      </c>
      <c r="D10" s="5" t="s">
        <v>70</v>
      </c>
      <c r="E10" s="5" t="s">
        <v>47</v>
      </c>
      <c r="F10" s="5" t="s">
        <v>71</v>
      </c>
      <c r="G10" s="5" t="s">
        <v>72</v>
      </c>
      <c r="H10" s="5" t="s">
        <v>73</v>
      </c>
      <c r="I10" s="5" t="s">
        <v>74</v>
      </c>
      <c r="J10" s="5" t="s">
        <v>75</v>
      </c>
      <c r="K10" s="5" t="s">
        <v>76</v>
      </c>
      <c r="L10" s="5" t="s">
        <v>77</v>
      </c>
      <c r="M10" s="5" t="s">
        <v>78</v>
      </c>
      <c r="N10" s="5" t="s">
        <v>79</v>
      </c>
      <c r="O10" s="5" t="s">
        <v>32</v>
      </c>
      <c r="P10" s="5" t="s">
        <v>80</v>
      </c>
    </row>
    <row r="11">
      <c r="A11" s="8" t="s">
        <v>11</v>
      </c>
      <c r="B11" s="8" t="s">
        <v>19</v>
      </c>
      <c r="C11" s="8" t="s">
        <v>10</v>
      </c>
      <c r="D11" s="8" t="s">
        <v>61</v>
      </c>
      <c r="E11" s="8" t="s">
        <v>61</v>
      </c>
      <c r="F11" s="8"/>
      <c r="G11" s="19">
        <v>46023.0</v>
      </c>
      <c r="H11" s="19">
        <v>46054.0</v>
      </c>
      <c r="I11" s="21">
        <v>16739.0</v>
      </c>
      <c r="J11" s="15">
        <v>0.77</v>
      </c>
      <c r="K11" s="22">
        <v>12889.03</v>
      </c>
      <c r="L11" s="23" t="s">
        <v>57</v>
      </c>
      <c r="M11" s="24">
        <f t="array" ref="M11">INDEX('Signicat quote'!$H$20:$H$31,MATCH($L11,'Signicat quote'!$A$20:$A$31,0))</f>
        <v>0.77</v>
      </c>
      <c r="N11" s="12">
        <f t="shared" ref="N11:N50" si="6">ROUND(I11*M11,2)</f>
        <v>12889.03</v>
      </c>
      <c r="O11" s="12">
        <f t="shared" ref="O11:O50" si="7">IF(C11="USAGE",N11-K11,0)</f>
        <v>0</v>
      </c>
      <c r="P11" s="23"/>
    </row>
    <row r="12">
      <c r="A12" s="8" t="s">
        <v>11</v>
      </c>
      <c r="B12" s="8" t="s">
        <v>19</v>
      </c>
      <c r="C12" s="8" t="s">
        <v>10</v>
      </c>
      <c r="D12" s="8" t="s">
        <v>89</v>
      </c>
      <c r="E12" s="8" t="s">
        <v>89</v>
      </c>
      <c r="F12" s="8"/>
      <c r="G12" s="19">
        <v>46023.0</v>
      </c>
      <c r="H12" s="19">
        <v>46054.0</v>
      </c>
      <c r="I12" s="21">
        <v>7220.0</v>
      </c>
      <c r="J12" s="15">
        <v>0.22</v>
      </c>
      <c r="K12" s="22">
        <v>1588.4</v>
      </c>
      <c r="L12" s="23" t="s">
        <v>86</v>
      </c>
      <c r="M12" s="24">
        <f t="array" ref="M12">INDEX('Signicat quote'!$H$20:$H$31,MATCH($L12,'Signicat quote'!$A$20:$A$31,0))</f>
        <v>0.22</v>
      </c>
      <c r="N12" s="12">
        <f t="shared" si="6"/>
        <v>1588.4</v>
      </c>
      <c r="O12" s="12">
        <f t="shared" si="7"/>
        <v>0</v>
      </c>
      <c r="P12" s="23"/>
    </row>
    <row r="13">
      <c r="A13" s="8" t="s">
        <v>11</v>
      </c>
      <c r="B13" s="8" t="s">
        <v>19</v>
      </c>
      <c r="C13" s="8" t="s">
        <v>10</v>
      </c>
      <c r="D13" s="8" t="s">
        <v>95</v>
      </c>
      <c r="E13" s="8" t="s">
        <v>95</v>
      </c>
      <c r="F13" s="8"/>
      <c r="G13" s="19">
        <v>46023.0</v>
      </c>
      <c r="H13" s="19">
        <v>46054.0</v>
      </c>
      <c r="I13" s="21">
        <v>5673.0</v>
      </c>
      <c r="J13" s="15">
        <v>0.77</v>
      </c>
      <c r="K13" s="22">
        <v>4368.21</v>
      </c>
      <c r="L13" s="23" t="s">
        <v>94</v>
      </c>
      <c r="M13" s="24">
        <f t="array" ref="M13">INDEX('Signicat quote'!$H$20:$H$31,MATCH($L13,'Signicat quote'!$A$20:$A$31,0))</f>
        <v>0.77</v>
      </c>
      <c r="N13" s="12">
        <f t="shared" si="6"/>
        <v>4368.21</v>
      </c>
      <c r="O13" s="12">
        <f t="shared" si="7"/>
        <v>0</v>
      </c>
      <c r="P13" s="23"/>
    </row>
    <row r="14">
      <c r="A14" s="8" t="s">
        <v>11</v>
      </c>
      <c r="B14" s="8" t="s">
        <v>19</v>
      </c>
      <c r="C14" s="8" t="s">
        <v>10</v>
      </c>
      <c r="D14" s="8" t="s">
        <v>93</v>
      </c>
      <c r="E14" s="8" t="s">
        <v>93</v>
      </c>
      <c r="F14" s="8"/>
      <c r="G14" s="19">
        <v>46023.0</v>
      </c>
      <c r="H14" s="19">
        <v>46054.0</v>
      </c>
      <c r="I14" s="21">
        <v>66.0</v>
      </c>
      <c r="J14" s="15">
        <v>0.77</v>
      </c>
      <c r="K14" s="22">
        <v>50.82</v>
      </c>
      <c r="L14" s="23" t="s">
        <v>103</v>
      </c>
      <c r="M14" s="24">
        <f t="array" ref="M14">INDEX('Signicat quote'!$H$20:$H$31,MATCH($L14,'Signicat quote'!$A$20:$A$31,0))</f>
        <v>0.77</v>
      </c>
      <c r="N14" s="12">
        <f t="shared" si="6"/>
        <v>50.82</v>
      </c>
      <c r="O14" s="12">
        <f t="shared" si="7"/>
        <v>0</v>
      </c>
      <c r="P14" s="23"/>
    </row>
    <row r="15">
      <c r="A15" s="8" t="s">
        <v>11</v>
      </c>
      <c r="B15" s="8" t="s">
        <v>19</v>
      </c>
      <c r="C15" s="8" t="s">
        <v>10</v>
      </c>
      <c r="D15" s="8" t="s">
        <v>106</v>
      </c>
      <c r="E15" s="8" t="s">
        <v>106</v>
      </c>
      <c r="F15" s="8"/>
      <c r="G15" s="19">
        <v>46023.0</v>
      </c>
      <c r="H15" s="19">
        <v>46054.0</v>
      </c>
      <c r="I15" s="21">
        <v>12970.0</v>
      </c>
      <c r="J15" s="15">
        <v>0.37</v>
      </c>
      <c r="K15" s="22">
        <v>4798.9</v>
      </c>
      <c r="L15" s="23" t="s">
        <v>109</v>
      </c>
      <c r="M15" s="24">
        <f t="array" ref="M15">INDEX('Signicat quote'!$H$20:$H$31,MATCH($L15,'Signicat quote'!$A$20:$A$31,0))</f>
        <v>0.37</v>
      </c>
      <c r="N15" s="12">
        <f t="shared" si="6"/>
        <v>4798.9</v>
      </c>
      <c r="O15" s="12">
        <f t="shared" si="7"/>
        <v>0</v>
      </c>
      <c r="P15" s="23"/>
    </row>
    <row r="16">
      <c r="A16" s="8" t="s">
        <v>11</v>
      </c>
      <c r="B16" s="8" t="s">
        <v>19</v>
      </c>
      <c r="C16" s="8" t="s">
        <v>10</v>
      </c>
      <c r="D16" s="8" t="s">
        <v>116</v>
      </c>
      <c r="E16" s="8" t="s">
        <v>116</v>
      </c>
      <c r="F16" s="8"/>
      <c r="G16" s="19">
        <v>46023.0</v>
      </c>
      <c r="H16" s="19">
        <v>46054.0</v>
      </c>
      <c r="I16" s="21">
        <v>70.0</v>
      </c>
      <c r="J16" s="15">
        <v>0.75</v>
      </c>
      <c r="K16" s="22">
        <v>52.5</v>
      </c>
      <c r="L16" s="23" t="s">
        <v>115</v>
      </c>
      <c r="M16" s="24">
        <f t="array" ref="M16">INDEX('Signicat quote'!$H$20:$H$31,MATCH($L16,'Signicat quote'!$A$20:$A$31,0))</f>
        <v>0.75</v>
      </c>
      <c r="N16" s="12">
        <f t="shared" si="6"/>
        <v>52.5</v>
      </c>
      <c r="O16" s="12">
        <f t="shared" si="7"/>
        <v>0</v>
      </c>
      <c r="P16" s="23"/>
    </row>
    <row r="17">
      <c r="A17" s="8" t="s">
        <v>11</v>
      </c>
      <c r="B17" s="8" t="s">
        <v>19</v>
      </c>
      <c r="C17" s="8" t="s">
        <v>10</v>
      </c>
      <c r="D17" s="8" t="s">
        <v>132</v>
      </c>
      <c r="E17" s="8" t="s">
        <v>132</v>
      </c>
      <c r="F17" s="8"/>
      <c r="G17" s="19">
        <v>46023.0</v>
      </c>
      <c r="H17" s="19">
        <v>46054.0</v>
      </c>
      <c r="I17" s="21">
        <v>2.0</v>
      </c>
      <c r="J17" s="15">
        <v>0.0</v>
      </c>
      <c r="K17" s="22">
        <v>0.0</v>
      </c>
      <c r="L17" s="23" t="s">
        <v>134</v>
      </c>
      <c r="M17" s="24">
        <f t="array" ref="M17">INDEX('Signicat quote'!$H$20:$H$31,MATCH($L17,'Signicat quote'!$A$20:$A$31,0))</f>
        <v>0</v>
      </c>
      <c r="N17" s="12">
        <f t="shared" si="6"/>
        <v>0</v>
      </c>
      <c r="O17" s="12">
        <f t="shared" si="7"/>
        <v>0</v>
      </c>
      <c r="P17" s="23"/>
    </row>
    <row r="18">
      <c r="A18" s="8" t="s">
        <v>11</v>
      </c>
      <c r="B18" s="8" t="s">
        <v>19</v>
      </c>
      <c r="C18" s="8" t="s">
        <v>10</v>
      </c>
      <c r="D18" s="8" t="s">
        <v>119</v>
      </c>
      <c r="E18" s="8" t="s">
        <v>119</v>
      </c>
      <c r="F18" s="8"/>
      <c r="G18" s="19">
        <v>46023.0</v>
      </c>
      <c r="H18" s="19">
        <v>46054.0</v>
      </c>
      <c r="I18" s="21">
        <v>27232.0</v>
      </c>
      <c r="J18" s="15">
        <v>0.0</v>
      </c>
      <c r="K18" s="22">
        <v>0.0</v>
      </c>
      <c r="L18" s="23" t="s">
        <v>139</v>
      </c>
      <c r="M18" s="24">
        <f t="array" ref="M18">INDEX('Signicat quote'!$H$20:$H$31,MATCH($L18,'Signicat quote'!$A$20:$A$31,0))</f>
        <v>0</v>
      </c>
      <c r="N18" s="12">
        <f t="shared" si="6"/>
        <v>0</v>
      </c>
      <c r="O18" s="12">
        <f t="shared" si="7"/>
        <v>0</v>
      </c>
      <c r="P18" s="23"/>
    </row>
    <row r="19">
      <c r="A19" s="8" t="s">
        <v>11</v>
      </c>
      <c r="B19" s="8" t="s">
        <v>19</v>
      </c>
      <c r="C19" s="8" t="s">
        <v>12</v>
      </c>
      <c r="D19" s="8" t="s">
        <v>157</v>
      </c>
      <c r="E19" s="8"/>
      <c r="F19" s="8"/>
      <c r="G19" s="19">
        <v>46023.0</v>
      </c>
      <c r="H19" s="19">
        <v>46054.0</v>
      </c>
      <c r="I19" s="21">
        <v>1.0</v>
      </c>
      <c r="J19" s="15">
        <v>0.0</v>
      </c>
      <c r="K19" s="22">
        <v>-23747.86</v>
      </c>
      <c r="L19" s="23"/>
      <c r="M19" s="27">
        <v>0.0</v>
      </c>
      <c r="N19" s="12">
        <f t="shared" si="6"/>
        <v>0</v>
      </c>
      <c r="O19" s="12">
        <f t="shared" si="7"/>
        <v>0</v>
      </c>
      <c r="P19" s="23" t="s">
        <v>158</v>
      </c>
    </row>
    <row r="20">
      <c r="A20" s="8" t="s">
        <v>13</v>
      </c>
      <c r="B20" s="8" t="s">
        <v>21</v>
      </c>
      <c r="C20" s="8" t="s">
        <v>10</v>
      </c>
      <c r="D20" s="8" t="s">
        <v>64</v>
      </c>
      <c r="E20" s="8" t="s">
        <v>61</v>
      </c>
      <c r="F20" s="8"/>
      <c r="G20" s="19">
        <v>46023.0</v>
      </c>
      <c r="H20" s="19">
        <v>46049.0</v>
      </c>
      <c r="I20" s="21">
        <v>34720.0</v>
      </c>
      <c r="J20" s="15">
        <v>0.63</v>
      </c>
      <c r="K20" s="22">
        <v>21873.6</v>
      </c>
      <c r="L20" s="23" t="s">
        <v>60</v>
      </c>
      <c r="M20" s="24">
        <f t="array" ref="M20">INDEX('Wolt quote 2025'!$H$20:$H$30,MATCH($L20,'Wolt quote 2025'!$A$20:$A$30,0))</f>
        <v>0.63</v>
      </c>
      <c r="N20" s="12">
        <f t="shared" si="6"/>
        <v>21873.6</v>
      </c>
      <c r="O20" s="12">
        <f t="shared" si="7"/>
        <v>0</v>
      </c>
      <c r="P20" s="23"/>
    </row>
    <row r="21" ht="15.75" customHeight="1">
      <c r="A21" s="8" t="s">
        <v>13</v>
      </c>
      <c r="B21" s="8" t="s">
        <v>21</v>
      </c>
      <c r="C21" s="8" t="s">
        <v>10</v>
      </c>
      <c r="D21" s="8" t="s">
        <v>87</v>
      </c>
      <c r="E21" s="8" t="s">
        <v>61</v>
      </c>
      <c r="F21" s="8" t="s">
        <v>84</v>
      </c>
      <c r="G21" s="19">
        <v>46023.0</v>
      </c>
      <c r="H21" s="19">
        <v>46049.0</v>
      </c>
      <c r="I21" s="21">
        <v>1405.0</v>
      </c>
      <c r="J21" s="15">
        <v>1.2</v>
      </c>
      <c r="K21" s="22">
        <v>1686.0</v>
      </c>
      <c r="L21" s="23" t="s">
        <v>85</v>
      </c>
      <c r="M21" s="24">
        <f t="array" ref="M21">INDEX('Wolt quote 2025'!$H$20:$H$30,MATCH($L21,'Wolt quote 2025'!$A$20:$A$30,0))</f>
        <v>1.2</v>
      </c>
      <c r="N21" s="12">
        <f t="shared" si="6"/>
        <v>1686</v>
      </c>
      <c r="O21" s="12">
        <f t="shared" si="7"/>
        <v>0</v>
      </c>
      <c r="P21" s="23"/>
    </row>
    <row r="22" ht="15.75" customHeight="1">
      <c r="A22" s="8" t="s">
        <v>13</v>
      </c>
      <c r="B22" s="8" t="s">
        <v>21</v>
      </c>
      <c r="C22" s="8" t="s">
        <v>10</v>
      </c>
      <c r="D22" s="8" t="s">
        <v>98</v>
      </c>
      <c r="E22" s="8" t="s">
        <v>61</v>
      </c>
      <c r="F22" s="8" t="s">
        <v>161</v>
      </c>
      <c r="G22" s="19">
        <v>46023.0</v>
      </c>
      <c r="H22" s="19">
        <v>46049.0</v>
      </c>
      <c r="I22" s="21">
        <v>7290.0</v>
      </c>
      <c r="J22" s="15">
        <v>0.63</v>
      </c>
      <c r="K22" s="22">
        <v>4592.7</v>
      </c>
      <c r="L22" s="23" t="s">
        <v>97</v>
      </c>
      <c r="M22" s="24">
        <f t="array" ref="M22">INDEX('Wolt quote 2025'!$H$20:$H$30,MATCH($L22,'Wolt quote 2025'!$A$20:$A$30,0))</f>
        <v>0.63</v>
      </c>
      <c r="N22" s="12">
        <f t="shared" si="6"/>
        <v>4592.7</v>
      </c>
      <c r="O22" s="12">
        <f t="shared" si="7"/>
        <v>0</v>
      </c>
      <c r="P22" s="23"/>
    </row>
    <row r="23" ht="15.75" customHeight="1">
      <c r="A23" s="8" t="s">
        <v>13</v>
      </c>
      <c r="B23" s="8" t="s">
        <v>21</v>
      </c>
      <c r="C23" s="8" t="s">
        <v>10</v>
      </c>
      <c r="D23" s="8" t="s">
        <v>98</v>
      </c>
      <c r="E23" s="8" t="s">
        <v>61</v>
      </c>
      <c r="F23" s="8" t="s">
        <v>166</v>
      </c>
      <c r="G23" s="19">
        <v>46023.0</v>
      </c>
      <c r="H23" s="19">
        <v>46049.0</v>
      </c>
      <c r="I23" s="21">
        <v>22.0</v>
      </c>
      <c r="J23" s="15">
        <v>0.63</v>
      </c>
      <c r="K23" s="22">
        <v>13.86</v>
      </c>
      <c r="L23" s="23" t="s">
        <v>97</v>
      </c>
      <c r="M23" s="24">
        <f t="array" ref="M23">INDEX('Wolt quote 2025'!$H$20:$H$30,MATCH($L23,'Wolt quote 2025'!$A$20:$A$30,0))</f>
        <v>0.63</v>
      </c>
      <c r="N23" s="12">
        <f t="shared" si="6"/>
        <v>13.86</v>
      </c>
      <c r="O23" s="12">
        <f t="shared" si="7"/>
        <v>0</v>
      </c>
      <c r="P23" s="23"/>
    </row>
    <row r="24" ht="15.75" customHeight="1">
      <c r="A24" s="8" t="s">
        <v>13</v>
      </c>
      <c r="B24" s="8" t="s">
        <v>21</v>
      </c>
      <c r="C24" s="8" t="s">
        <v>10</v>
      </c>
      <c r="D24" s="8" t="s">
        <v>61</v>
      </c>
      <c r="E24" s="8" t="s">
        <v>61</v>
      </c>
      <c r="F24" s="8"/>
      <c r="G24" s="19">
        <v>46023.0</v>
      </c>
      <c r="H24" s="19">
        <v>46049.0</v>
      </c>
      <c r="I24" s="21">
        <v>43437.0</v>
      </c>
      <c r="J24" s="15">
        <v>0.0</v>
      </c>
      <c r="K24" s="22">
        <v>0.0</v>
      </c>
      <c r="L24" s="23"/>
      <c r="M24" s="27">
        <v>0.0</v>
      </c>
      <c r="N24" s="12">
        <f t="shared" si="6"/>
        <v>0</v>
      </c>
      <c r="O24" s="12">
        <f t="shared" si="7"/>
        <v>0</v>
      </c>
      <c r="P24" s="23" t="s">
        <v>167</v>
      </c>
    </row>
    <row r="25" ht="15.75" customHeight="1">
      <c r="A25" s="8" t="s">
        <v>13</v>
      </c>
      <c r="B25" s="8" t="s">
        <v>21</v>
      </c>
      <c r="C25" s="8" t="s">
        <v>10</v>
      </c>
      <c r="D25" s="8" t="s">
        <v>92</v>
      </c>
      <c r="E25" s="8" t="s">
        <v>93</v>
      </c>
      <c r="F25" s="8"/>
      <c r="G25" s="19">
        <v>46023.0</v>
      </c>
      <c r="H25" s="19">
        <v>46049.0</v>
      </c>
      <c r="I25" s="21">
        <v>3306.0</v>
      </c>
      <c r="J25" s="15">
        <v>0.63</v>
      </c>
      <c r="K25" s="22">
        <v>2082.78</v>
      </c>
      <c r="L25" s="23" t="s">
        <v>108</v>
      </c>
      <c r="M25" s="24">
        <f t="array" ref="M25">INDEX('Wolt quote 2025'!$H$20:$H$30,MATCH($L25,'Wolt quote 2025'!$A$20:$A$30,0))</f>
        <v>0.63</v>
      </c>
      <c r="N25" s="12">
        <f t="shared" si="6"/>
        <v>2082.78</v>
      </c>
      <c r="O25" s="12">
        <f t="shared" si="7"/>
        <v>0</v>
      </c>
      <c r="P25" s="23"/>
    </row>
    <row r="26" ht="15.75" customHeight="1">
      <c r="A26" s="8" t="s">
        <v>13</v>
      </c>
      <c r="B26" s="8" t="s">
        <v>21</v>
      </c>
      <c r="C26" s="8" t="s">
        <v>10</v>
      </c>
      <c r="D26" s="8" t="s">
        <v>93</v>
      </c>
      <c r="E26" s="8" t="s">
        <v>93</v>
      </c>
      <c r="F26" s="8"/>
      <c r="G26" s="19">
        <v>46023.0</v>
      </c>
      <c r="H26" s="19">
        <v>46049.0</v>
      </c>
      <c r="I26" s="21">
        <v>3306.0</v>
      </c>
      <c r="J26" s="15">
        <v>0.0</v>
      </c>
      <c r="K26" s="22">
        <v>0.0</v>
      </c>
      <c r="L26" s="23"/>
      <c r="M26" s="27">
        <v>0.0</v>
      </c>
      <c r="N26" s="12">
        <f t="shared" si="6"/>
        <v>0</v>
      </c>
      <c r="O26" s="12">
        <f t="shared" si="7"/>
        <v>0</v>
      </c>
      <c r="P26" s="23" t="s">
        <v>167</v>
      </c>
    </row>
    <row r="27" ht="15.75" customHeight="1">
      <c r="A27" s="8" t="s">
        <v>13</v>
      </c>
      <c r="B27" s="8" t="s">
        <v>21</v>
      </c>
      <c r="C27" s="8" t="s">
        <v>10</v>
      </c>
      <c r="D27" s="8" t="s">
        <v>106</v>
      </c>
      <c r="E27" s="8" t="s">
        <v>106</v>
      </c>
      <c r="F27" s="8"/>
      <c r="G27" s="19">
        <v>46023.0</v>
      </c>
      <c r="H27" s="19">
        <v>46049.0</v>
      </c>
      <c r="I27" s="21">
        <v>45377.0</v>
      </c>
      <c r="J27" s="15">
        <v>0.4</v>
      </c>
      <c r="K27" s="22">
        <v>18150.8</v>
      </c>
      <c r="L27" s="23" t="s">
        <v>121</v>
      </c>
      <c r="M27" s="24">
        <f t="array" ref="M27">INDEX('Wolt quote 2025'!$H$20:$H$30,MATCH($L27,'Wolt quote 2025'!$A$20:$A$30,0))</f>
        <v>0.4</v>
      </c>
      <c r="N27" s="12">
        <f t="shared" si="6"/>
        <v>18150.8</v>
      </c>
      <c r="O27" s="12">
        <f t="shared" si="7"/>
        <v>0</v>
      </c>
      <c r="P27" s="23"/>
    </row>
    <row r="28" ht="15.75" customHeight="1">
      <c r="A28" s="8" t="s">
        <v>13</v>
      </c>
      <c r="B28" s="8" t="s">
        <v>21</v>
      </c>
      <c r="C28" s="8" t="s">
        <v>10</v>
      </c>
      <c r="D28" s="8" t="s">
        <v>114</v>
      </c>
      <c r="E28" s="8" t="s">
        <v>114</v>
      </c>
      <c r="F28" s="8"/>
      <c r="G28" s="19">
        <v>46023.0</v>
      </c>
      <c r="H28" s="19">
        <v>46049.0</v>
      </c>
      <c r="I28" s="21">
        <v>46409.0</v>
      </c>
      <c r="J28" s="15">
        <v>0.4</v>
      </c>
      <c r="K28" s="22">
        <v>18563.6</v>
      </c>
      <c r="L28" s="23" t="s">
        <v>126</v>
      </c>
      <c r="M28" s="24">
        <f t="array" ref="M28">INDEX('Wolt quote 2025'!$H$20:$H$30,MATCH($L28,'Wolt quote 2025'!$A$20:$A$30,0))</f>
        <v>0.4</v>
      </c>
      <c r="N28" s="12">
        <f t="shared" si="6"/>
        <v>18563.6</v>
      </c>
      <c r="O28" s="12">
        <f t="shared" si="7"/>
        <v>0</v>
      </c>
      <c r="P28" s="23"/>
    </row>
    <row r="29" ht="15.75" customHeight="1">
      <c r="A29" s="8" t="s">
        <v>13</v>
      </c>
      <c r="B29" s="8" t="s">
        <v>21</v>
      </c>
      <c r="C29" s="8" t="s">
        <v>10</v>
      </c>
      <c r="D29" s="8" t="s">
        <v>119</v>
      </c>
      <c r="E29" s="8" t="s">
        <v>119</v>
      </c>
      <c r="F29" s="8"/>
      <c r="G29" s="19">
        <v>46023.0</v>
      </c>
      <c r="H29" s="19">
        <v>46049.0</v>
      </c>
      <c r="I29" s="21">
        <v>41689.0</v>
      </c>
      <c r="J29" s="15">
        <v>0.0</v>
      </c>
      <c r="K29" s="22">
        <v>0.0</v>
      </c>
      <c r="L29" s="23" t="s">
        <v>135</v>
      </c>
      <c r="M29" s="24">
        <f t="array" ref="M29">INDEX('Wolt quote 2025'!$H$20:$H$30,MATCH($L29,'Wolt quote 2025'!$A$20:$A$30,0))</f>
        <v>0</v>
      </c>
      <c r="N29" s="12">
        <f t="shared" si="6"/>
        <v>0</v>
      </c>
      <c r="O29" s="12">
        <f t="shared" si="7"/>
        <v>0</v>
      </c>
      <c r="P29" s="23"/>
    </row>
    <row r="30" ht="15.75" customHeight="1">
      <c r="A30" s="8" t="s">
        <v>13</v>
      </c>
      <c r="B30" s="8" t="s">
        <v>21</v>
      </c>
      <c r="C30" s="8" t="s">
        <v>10</v>
      </c>
      <c r="D30" s="8" t="s">
        <v>124</v>
      </c>
      <c r="E30" s="8" t="s">
        <v>124</v>
      </c>
      <c r="F30" s="8"/>
      <c r="G30" s="19">
        <v>46023.0</v>
      </c>
      <c r="H30" s="19">
        <v>46049.0</v>
      </c>
      <c r="I30" s="21">
        <v>50028.0</v>
      </c>
      <c r="J30" s="15">
        <v>0.0</v>
      </c>
      <c r="K30" s="22">
        <v>0.0</v>
      </c>
      <c r="L30" s="23" t="s">
        <v>140</v>
      </c>
      <c r="M30" s="24">
        <f t="array" ref="M30">INDEX('Wolt quote 2025'!$H$20:$H$30,MATCH($L30,'Wolt quote 2025'!$A$20:$A$30,0))</f>
        <v>0</v>
      </c>
      <c r="N30" s="12">
        <f t="shared" si="6"/>
        <v>0</v>
      </c>
      <c r="O30" s="12">
        <f t="shared" si="7"/>
        <v>0</v>
      </c>
      <c r="P30" s="23"/>
    </row>
    <row r="31" ht="15.75" customHeight="1">
      <c r="A31" s="8" t="s">
        <v>13</v>
      </c>
      <c r="B31" s="8" t="s">
        <v>18</v>
      </c>
      <c r="C31" s="8" t="s">
        <v>10</v>
      </c>
      <c r="D31" s="8" t="s">
        <v>58</v>
      </c>
      <c r="E31" s="8" t="s">
        <v>61</v>
      </c>
      <c r="F31" s="8"/>
      <c r="G31" s="19">
        <v>46049.0</v>
      </c>
      <c r="H31" s="19">
        <v>46050.0</v>
      </c>
      <c r="I31" s="21">
        <v>1986.0</v>
      </c>
      <c r="J31" s="15">
        <v>0.54</v>
      </c>
      <c r="K31" s="22">
        <v>1072.44</v>
      </c>
      <c r="L31" s="23" t="s">
        <v>56</v>
      </c>
      <c r="M31" s="24">
        <f t="array" ref="M31">INDEX('Wolt quote 2026'!$H$20:$H$29,MATCH($L31,'Wolt quote 2026'!$A$20:$A$29,0))</f>
        <v>0.54</v>
      </c>
      <c r="N31" s="12">
        <f t="shared" si="6"/>
        <v>1072.44</v>
      </c>
      <c r="O31" s="12">
        <f t="shared" si="7"/>
        <v>0</v>
      </c>
      <c r="P31" s="23"/>
    </row>
    <row r="32" ht="15.75" customHeight="1">
      <c r="A32" s="8" t="s">
        <v>13</v>
      </c>
      <c r="B32" s="8" t="s">
        <v>18</v>
      </c>
      <c r="C32" s="8" t="s">
        <v>10</v>
      </c>
      <c r="D32" s="8" t="s">
        <v>58</v>
      </c>
      <c r="E32" s="8" t="s">
        <v>61</v>
      </c>
      <c r="F32" s="8"/>
      <c r="G32" s="19">
        <v>46050.0</v>
      </c>
      <c r="H32" s="19">
        <v>46054.0</v>
      </c>
      <c r="I32" s="21">
        <v>6041.0</v>
      </c>
      <c r="J32" s="15">
        <v>0.54</v>
      </c>
      <c r="K32" s="22">
        <v>3262.14</v>
      </c>
      <c r="L32" s="23" t="s">
        <v>56</v>
      </c>
      <c r="M32" s="24">
        <f t="array" ref="M32">INDEX('Wolt quote 2026'!$H$20:$H$29,MATCH($L32,'Wolt quote 2026'!$A$20:$A$29,0))</f>
        <v>0.54</v>
      </c>
      <c r="N32" s="12">
        <f t="shared" si="6"/>
        <v>3262.14</v>
      </c>
      <c r="O32" s="12">
        <f t="shared" si="7"/>
        <v>0</v>
      </c>
      <c r="P32" s="23"/>
    </row>
    <row r="33" ht="15.75" customHeight="1">
      <c r="A33" s="8" t="s">
        <v>13</v>
      </c>
      <c r="B33" s="8" t="s">
        <v>18</v>
      </c>
      <c r="C33" s="8" t="s">
        <v>10</v>
      </c>
      <c r="D33" s="8" t="s">
        <v>82</v>
      </c>
      <c r="E33" s="8" t="s">
        <v>61</v>
      </c>
      <c r="F33" s="8" t="s">
        <v>84</v>
      </c>
      <c r="G33" s="19">
        <v>46049.0</v>
      </c>
      <c r="H33" s="19">
        <v>46050.0</v>
      </c>
      <c r="I33" s="21">
        <v>51.0</v>
      </c>
      <c r="J33" s="15">
        <v>1.2</v>
      </c>
      <c r="K33" s="22">
        <v>61.2</v>
      </c>
      <c r="L33" s="23" t="s">
        <v>81</v>
      </c>
      <c r="M33" s="24">
        <f t="array" ref="M33">INDEX('Wolt quote 2026'!$H$20:$H$29,MATCH($L33,'Wolt quote 2026'!$A$20:$A$29,0))</f>
        <v>1.2</v>
      </c>
      <c r="N33" s="12">
        <f t="shared" si="6"/>
        <v>61.2</v>
      </c>
      <c r="O33" s="12">
        <f t="shared" si="7"/>
        <v>0</v>
      </c>
      <c r="P33" s="23"/>
    </row>
    <row r="34" ht="15.75" customHeight="1">
      <c r="A34" s="8" t="s">
        <v>13</v>
      </c>
      <c r="B34" s="8" t="s">
        <v>18</v>
      </c>
      <c r="C34" s="8" t="s">
        <v>10</v>
      </c>
      <c r="D34" s="8" t="s">
        <v>82</v>
      </c>
      <c r="E34" s="8" t="s">
        <v>61</v>
      </c>
      <c r="F34" s="8" t="s">
        <v>84</v>
      </c>
      <c r="G34" s="19">
        <v>46050.0</v>
      </c>
      <c r="H34" s="19">
        <v>46054.0</v>
      </c>
      <c r="I34" s="21">
        <v>198.0</v>
      </c>
      <c r="J34" s="15">
        <v>1.2</v>
      </c>
      <c r="K34" s="22">
        <v>237.6</v>
      </c>
      <c r="L34" s="23" t="s">
        <v>81</v>
      </c>
      <c r="M34" s="24">
        <f t="array" ref="M34">INDEX('Wolt quote 2026'!$H$20:$H$29,MATCH($L34,'Wolt quote 2026'!$A$20:$A$29,0))</f>
        <v>1.2</v>
      </c>
      <c r="N34" s="12">
        <f t="shared" si="6"/>
        <v>237.6</v>
      </c>
      <c r="O34" s="12">
        <f t="shared" si="7"/>
        <v>0</v>
      </c>
      <c r="P34" s="23"/>
    </row>
    <row r="35" ht="15.75" customHeight="1">
      <c r="A35" s="8" t="s">
        <v>13</v>
      </c>
      <c r="B35" s="8" t="s">
        <v>18</v>
      </c>
      <c r="C35" s="8" t="s">
        <v>10</v>
      </c>
      <c r="D35" s="8" t="s">
        <v>61</v>
      </c>
      <c r="E35" s="8" t="s">
        <v>61</v>
      </c>
      <c r="F35" s="8"/>
      <c r="G35" s="19">
        <v>46049.0</v>
      </c>
      <c r="H35" s="19">
        <v>46050.0</v>
      </c>
      <c r="I35" s="21">
        <v>2037.0</v>
      </c>
      <c r="J35" s="15">
        <v>0.0</v>
      </c>
      <c r="K35" s="22">
        <v>0.0</v>
      </c>
      <c r="L35" s="23"/>
      <c r="M35" s="27">
        <v>0.0</v>
      </c>
      <c r="N35" s="12">
        <f t="shared" si="6"/>
        <v>0</v>
      </c>
      <c r="O35" s="12">
        <f t="shared" si="7"/>
        <v>0</v>
      </c>
      <c r="P35" s="23" t="s">
        <v>167</v>
      </c>
    </row>
    <row r="36" ht="15.75" customHeight="1">
      <c r="A36" s="8" t="s">
        <v>13</v>
      </c>
      <c r="B36" s="8" t="s">
        <v>18</v>
      </c>
      <c r="C36" s="8" t="s">
        <v>10</v>
      </c>
      <c r="D36" s="8" t="s">
        <v>61</v>
      </c>
      <c r="E36" s="8" t="s">
        <v>61</v>
      </c>
      <c r="F36" s="8"/>
      <c r="G36" s="19">
        <v>46050.0</v>
      </c>
      <c r="H36" s="19">
        <v>46054.0</v>
      </c>
      <c r="I36" s="21">
        <v>6239.0</v>
      </c>
      <c r="J36" s="15">
        <v>0.0</v>
      </c>
      <c r="K36" s="22">
        <v>0.0</v>
      </c>
      <c r="L36" s="23"/>
      <c r="M36" s="27">
        <v>0.0</v>
      </c>
      <c r="N36" s="12">
        <f t="shared" si="6"/>
        <v>0</v>
      </c>
      <c r="O36" s="12">
        <f t="shared" si="7"/>
        <v>0</v>
      </c>
      <c r="P36" s="23" t="s">
        <v>167</v>
      </c>
    </row>
    <row r="37" ht="15.75" customHeight="1">
      <c r="A37" s="8" t="s">
        <v>13</v>
      </c>
      <c r="B37" s="8" t="s">
        <v>18</v>
      </c>
      <c r="C37" s="8" t="s">
        <v>10</v>
      </c>
      <c r="D37" s="8" t="s">
        <v>92</v>
      </c>
      <c r="E37" s="8" t="s">
        <v>93</v>
      </c>
      <c r="F37" s="8"/>
      <c r="G37" s="19">
        <v>46049.0</v>
      </c>
      <c r="H37" s="19">
        <v>46050.0</v>
      </c>
      <c r="I37" s="21">
        <v>173.0</v>
      </c>
      <c r="J37" s="15">
        <v>0.54</v>
      </c>
      <c r="K37" s="22">
        <v>93.42</v>
      </c>
      <c r="L37" s="23" t="s">
        <v>91</v>
      </c>
      <c r="M37" s="24">
        <f t="array" ref="M37">INDEX('Wolt quote 2026'!$H$20:$H$29,MATCH($L37,'Wolt quote 2026'!$A$20:$A$29,0))</f>
        <v>0.54</v>
      </c>
      <c r="N37" s="12">
        <f t="shared" si="6"/>
        <v>93.42</v>
      </c>
      <c r="O37" s="12">
        <f t="shared" si="7"/>
        <v>0</v>
      </c>
      <c r="P37" s="23"/>
    </row>
    <row r="38" ht="15.75" customHeight="1">
      <c r="A38" s="8" t="s">
        <v>13</v>
      </c>
      <c r="B38" s="8" t="s">
        <v>18</v>
      </c>
      <c r="C38" s="8" t="s">
        <v>10</v>
      </c>
      <c r="D38" s="8" t="s">
        <v>92</v>
      </c>
      <c r="E38" s="8" t="s">
        <v>93</v>
      </c>
      <c r="F38" s="8"/>
      <c r="G38" s="19">
        <v>46050.0</v>
      </c>
      <c r="H38" s="19">
        <v>46054.0</v>
      </c>
      <c r="I38" s="21">
        <v>450.0</v>
      </c>
      <c r="J38" s="15">
        <v>0.54</v>
      </c>
      <c r="K38" s="22">
        <v>243.0</v>
      </c>
      <c r="L38" s="23" t="s">
        <v>91</v>
      </c>
      <c r="M38" s="24">
        <f t="array" ref="M38">INDEX('Wolt quote 2026'!$H$20:$H$29,MATCH($L38,'Wolt quote 2026'!$A$20:$A$29,0))</f>
        <v>0.54</v>
      </c>
      <c r="N38" s="12">
        <f t="shared" si="6"/>
        <v>243</v>
      </c>
      <c r="O38" s="12">
        <f t="shared" si="7"/>
        <v>0</v>
      </c>
      <c r="P38" s="23"/>
    </row>
    <row r="39" ht="15.75" customHeight="1">
      <c r="A39" s="8" t="s">
        <v>13</v>
      </c>
      <c r="B39" s="8" t="s">
        <v>18</v>
      </c>
      <c r="C39" s="8" t="s">
        <v>10</v>
      </c>
      <c r="D39" s="8" t="s">
        <v>93</v>
      </c>
      <c r="E39" s="8" t="s">
        <v>93</v>
      </c>
      <c r="F39" s="8"/>
      <c r="G39" s="19">
        <v>46049.0</v>
      </c>
      <c r="H39" s="19">
        <v>46050.0</v>
      </c>
      <c r="I39" s="21">
        <v>173.0</v>
      </c>
      <c r="J39" s="15">
        <v>0.0</v>
      </c>
      <c r="K39" s="22">
        <v>0.0</v>
      </c>
      <c r="L39" s="23"/>
      <c r="M39" s="27">
        <v>0.0</v>
      </c>
      <c r="N39" s="12">
        <f t="shared" si="6"/>
        <v>0</v>
      </c>
      <c r="O39" s="12">
        <f t="shared" si="7"/>
        <v>0</v>
      </c>
      <c r="P39" s="23" t="s">
        <v>167</v>
      </c>
    </row>
    <row r="40" ht="15.75" customHeight="1">
      <c r="A40" s="8" t="s">
        <v>13</v>
      </c>
      <c r="B40" s="8" t="s">
        <v>18</v>
      </c>
      <c r="C40" s="8" t="s">
        <v>10</v>
      </c>
      <c r="D40" s="8" t="s">
        <v>93</v>
      </c>
      <c r="E40" s="8" t="s">
        <v>93</v>
      </c>
      <c r="F40" s="8"/>
      <c r="G40" s="19">
        <v>46050.0</v>
      </c>
      <c r="H40" s="19">
        <v>46054.0</v>
      </c>
      <c r="I40" s="21">
        <v>450.0</v>
      </c>
      <c r="J40" s="15">
        <v>0.0</v>
      </c>
      <c r="K40" s="22">
        <v>0.0</v>
      </c>
      <c r="L40" s="23"/>
      <c r="M40" s="27">
        <v>0.0</v>
      </c>
      <c r="N40" s="12">
        <f t="shared" si="6"/>
        <v>0</v>
      </c>
      <c r="O40" s="12">
        <f t="shared" si="7"/>
        <v>0</v>
      </c>
      <c r="P40" s="23" t="s">
        <v>167</v>
      </c>
    </row>
    <row r="41" ht="15.75" customHeight="1">
      <c r="A41" s="8" t="s">
        <v>13</v>
      </c>
      <c r="B41" s="8" t="s">
        <v>18</v>
      </c>
      <c r="C41" s="8" t="s">
        <v>10</v>
      </c>
      <c r="D41" s="8" t="s">
        <v>106</v>
      </c>
      <c r="E41" s="8" t="s">
        <v>106</v>
      </c>
      <c r="F41" s="8"/>
      <c r="G41" s="19">
        <v>46049.0</v>
      </c>
      <c r="H41" s="19">
        <v>46050.0</v>
      </c>
      <c r="I41" s="21">
        <v>2145.0</v>
      </c>
      <c r="J41" s="15">
        <v>0.29</v>
      </c>
      <c r="K41" s="22">
        <v>622.05</v>
      </c>
      <c r="L41" s="23" t="s">
        <v>105</v>
      </c>
      <c r="M41" s="24">
        <f t="array" ref="M41">INDEX('Wolt quote 2026'!$H$20:$H$29,MATCH($L41,'Wolt quote 2026'!$A$20:$A$29,0))</f>
        <v>0.29</v>
      </c>
      <c r="N41" s="12">
        <f t="shared" si="6"/>
        <v>622.05</v>
      </c>
      <c r="O41" s="12">
        <f t="shared" si="7"/>
        <v>0</v>
      </c>
      <c r="P41" s="23"/>
    </row>
    <row r="42" ht="15.75" customHeight="1">
      <c r="A42" s="8" t="s">
        <v>13</v>
      </c>
      <c r="B42" s="8" t="s">
        <v>18</v>
      </c>
      <c r="C42" s="8" t="s">
        <v>10</v>
      </c>
      <c r="D42" s="8" t="s">
        <v>106</v>
      </c>
      <c r="E42" s="8" t="s">
        <v>106</v>
      </c>
      <c r="F42" s="8"/>
      <c r="G42" s="19">
        <v>46050.0</v>
      </c>
      <c r="H42" s="19">
        <v>46054.0</v>
      </c>
      <c r="I42" s="21">
        <v>6505.0</v>
      </c>
      <c r="J42" s="15">
        <v>0.29</v>
      </c>
      <c r="K42" s="22">
        <v>1886.45</v>
      </c>
      <c r="L42" s="23" t="s">
        <v>105</v>
      </c>
      <c r="M42" s="24">
        <f t="array" ref="M42">INDEX('Wolt quote 2026'!$H$20:$H$29,MATCH($L42,'Wolt quote 2026'!$A$20:$A$29,0))</f>
        <v>0.29</v>
      </c>
      <c r="N42" s="12">
        <f t="shared" si="6"/>
        <v>1886.45</v>
      </c>
      <c r="O42" s="12">
        <f t="shared" si="7"/>
        <v>0</v>
      </c>
      <c r="P42" s="23"/>
    </row>
    <row r="43" ht="15.75" customHeight="1">
      <c r="A43" s="8" t="s">
        <v>13</v>
      </c>
      <c r="B43" s="8" t="s">
        <v>18</v>
      </c>
      <c r="C43" s="8" t="s">
        <v>10</v>
      </c>
      <c r="D43" s="8" t="s">
        <v>111</v>
      </c>
      <c r="E43" s="8" t="s">
        <v>114</v>
      </c>
      <c r="F43" s="8"/>
      <c r="G43" s="19">
        <v>46049.0</v>
      </c>
      <c r="H43" s="19">
        <v>46050.0</v>
      </c>
      <c r="I43" s="21">
        <v>5394.0</v>
      </c>
      <c r="J43" s="15">
        <v>0.29</v>
      </c>
      <c r="K43" s="22">
        <v>1564.26</v>
      </c>
      <c r="L43" s="23" t="s">
        <v>110</v>
      </c>
      <c r="M43" s="24">
        <f t="array" ref="M43">INDEX('Wolt quote 2026'!$H$20:$H$29,MATCH($L43,'Wolt quote 2026'!$A$20:$A$29,0))</f>
        <v>0.29</v>
      </c>
      <c r="N43" s="12">
        <f t="shared" si="6"/>
        <v>1564.26</v>
      </c>
      <c r="O43" s="12">
        <f t="shared" si="7"/>
        <v>0</v>
      </c>
      <c r="P43" s="23"/>
    </row>
    <row r="44" ht="15.75" customHeight="1">
      <c r="A44" s="8" t="s">
        <v>13</v>
      </c>
      <c r="B44" s="8" t="s">
        <v>18</v>
      </c>
      <c r="C44" s="8" t="s">
        <v>10</v>
      </c>
      <c r="D44" s="8" t="s">
        <v>111</v>
      </c>
      <c r="E44" s="8" t="s">
        <v>114</v>
      </c>
      <c r="F44" s="8"/>
      <c r="G44" s="19">
        <v>46050.0</v>
      </c>
      <c r="H44" s="19">
        <v>46054.0</v>
      </c>
      <c r="I44" s="21">
        <v>5221.0</v>
      </c>
      <c r="J44" s="15">
        <v>0.29</v>
      </c>
      <c r="K44" s="22">
        <v>1514.09</v>
      </c>
      <c r="L44" s="23" t="s">
        <v>110</v>
      </c>
      <c r="M44" s="24">
        <f t="array" ref="M44">INDEX('Wolt quote 2026'!$H$20:$H$29,MATCH($L44,'Wolt quote 2026'!$A$20:$A$29,0))</f>
        <v>0.29</v>
      </c>
      <c r="N44" s="12">
        <f t="shared" si="6"/>
        <v>1514.09</v>
      </c>
      <c r="O44" s="12">
        <f t="shared" si="7"/>
        <v>0</v>
      </c>
      <c r="P44" s="23"/>
    </row>
    <row r="45" ht="15.75" customHeight="1">
      <c r="A45" s="8" t="s">
        <v>13</v>
      </c>
      <c r="B45" s="8" t="s">
        <v>18</v>
      </c>
      <c r="C45" s="8" t="s">
        <v>10</v>
      </c>
      <c r="D45" s="8" t="s">
        <v>119</v>
      </c>
      <c r="E45" s="8" t="s">
        <v>119</v>
      </c>
      <c r="F45" s="8"/>
      <c r="G45" s="19">
        <v>46049.0</v>
      </c>
      <c r="H45" s="19">
        <v>46050.0</v>
      </c>
      <c r="I45" s="21">
        <v>1974.0</v>
      </c>
      <c r="J45" s="15">
        <v>0.0</v>
      </c>
      <c r="K45" s="22">
        <v>0.0</v>
      </c>
      <c r="L45" s="23" t="s">
        <v>118</v>
      </c>
      <c r="M45" s="24">
        <f t="array" ref="M45">INDEX('Wolt quote 2026'!$H$20:$H$29,MATCH($L45,'Wolt quote 2026'!$A$20:$A$29,0))</f>
        <v>0</v>
      </c>
      <c r="N45" s="12">
        <f t="shared" si="6"/>
        <v>0</v>
      </c>
      <c r="O45" s="12">
        <f t="shared" si="7"/>
        <v>0</v>
      </c>
      <c r="P45" s="23"/>
    </row>
    <row r="46" ht="15.75" customHeight="1">
      <c r="A46" s="8" t="s">
        <v>13</v>
      </c>
      <c r="B46" s="8" t="s">
        <v>18</v>
      </c>
      <c r="C46" s="8" t="s">
        <v>10</v>
      </c>
      <c r="D46" s="8" t="s">
        <v>119</v>
      </c>
      <c r="E46" s="8" t="s">
        <v>119</v>
      </c>
      <c r="F46" s="8"/>
      <c r="G46" s="19">
        <v>46050.0</v>
      </c>
      <c r="H46" s="19">
        <v>46054.0</v>
      </c>
      <c r="I46" s="21">
        <v>5886.0</v>
      </c>
      <c r="J46" s="15">
        <v>0.0</v>
      </c>
      <c r="K46" s="22">
        <v>0.0</v>
      </c>
      <c r="L46" s="23" t="s">
        <v>118</v>
      </c>
      <c r="M46" s="24">
        <f t="array" ref="M46">INDEX('Wolt quote 2026'!$H$20:$H$29,MATCH($L46,'Wolt quote 2026'!$A$20:$A$29,0))</f>
        <v>0</v>
      </c>
      <c r="N46" s="12">
        <f t="shared" si="6"/>
        <v>0</v>
      </c>
      <c r="O46" s="12">
        <f t="shared" si="7"/>
        <v>0</v>
      </c>
      <c r="P46" s="23"/>
    </row>
    <row r="47" ht="15.75" customHeight="1">
      <c r="A47" s="8" t="s">
        <v>13</v>
      </c>
      <c r="B47" s="8" t="s">
        <v>18</v>
      </c>
      <c r="C47" s="8" t="s">
        <v>10</v>
      </c>
      <c r="D47" s="8" t="s">
        <v>124</v>
      </c>
      <c r="E47" s="8" t="s">
        <v>124</v>
      </c>
      <c r="F47" s="8"/>
      <c r="G47" s="19">
        <v>46049.0</v>
      </c>
      <c r="H47" s="19">
        <v>46050.0</v>
      </c>
      <c r="I47" s="21">
        <v>5606.0</v>
      </c>
      <c r="J47" s="15">
        <v>0.0</v>
      </c>
      <c r="K47" s="22">
        <v>0.0</v>
      </c>
      <c r="L47" s="23" t="s">
        <v>123</v>
      </c>
      <c r="M47" s="24">
        <f t="array" ref="M47">INDEX('Wolt quote 2026'!$H$20:$H$29,MATCH($L47,'Wolt quote 2026'!$A$20:$A$29,0))</f>
        <v>0</v>
      </c>
      <c r="N47" s="12">
        <f t="shared" si="6"/>
        <v>0</v>
      </c>
      <c r="O47" s="12">
        <f t="shared" si="7"/>
        <v>0</v>
      </c>
      <c r="P47" s="23"/>
    </row>
    <row r="48" ht="15.75" customHeight="1">
      <c r="A48" s="8" t="s">
        <v>13</v>
      </c>
      <c r="B48" s="8" t="s">
        <v>18</v>
      </c>
      <c r="C48" s="8" t="s">
        <v>10</v>
      </c>
      <c r="D48" s="8" t="s">
        <v>124</v>
      </c>
      <c r="E48" s="8" t="s">
        <v>124</v>
      </c>
      <c r="F48" s="8"/>
      <c r="G48" s="19">
        <v>46050.0</v>
      </c>
      <c r="H48" s="19">
        <v>46054.0</v>
      </c>
      <c r="I48" s="21">
        <v>5841.0</v>
      </c>
      <c r="J48" s="15">
        <v>0.0</v>
      </c>
      <c r="K48" s="22">
        <v>0.0</v>
      </c>
      <c r="L48" s="23" t="s">
        <v>123</v>
      </c>
      <c r="M48" s="24">
        <f t="array" ref="M48">INDEX('Wolt quote 2026'!$H$20:$H$29,MATCH($L48,'Wolt quote 2026'!$A$20:$A$29,0))</f>
        <v>0</v>
      </c>
      <c r="N48" s="12">
        <f t="shared" si="6"/>
        <v>0</v>
      </c>
      <c r="O48" s="12">
        <f t="shared" si="7"/>
        <v>0</v>
      </c>
      <c r="P48" s="23"/>
    </row>
    <row r="49" ht="15.75" customHeight="1">
      <c r="A49" s="8" t="s">
        <v>13</v>
      </c>
      <c r="B49" s="8" t="s">
        <v>18</v>
      </c>
      <c r="C49" s="8" t="s">
        <v>12</v>
      </c>
      <c r="D49" s="8" t="s">
        <v>157</v>
      </c>
      <c r="E49" s="8"/>
      <c r="F49" s="8"/>
      <c r="G49" s="19">
        <v>46049.0</v>
      </c>
      <c r="H49" s="19">
        <v>46050.0</v>
      </c>
      <c r="I49" s="21">
        <v>1.0</v>
      </c>
      <c r="J49" s="15">
        <v>0.0</v>
      </c>
      <c r="K49" s="22">
        <v>-3413.37</v>
      </c>
      <c r="L49" s="23"/>
      <c r="M49" s="27">
        <v>0.0</v>
      </c>
      <c r="N49" s="12">
        <f t="shared" si="6"/>
        <v>0</v>
      </c>
      <c r="O49" s="12">
        <f t="shared" si="7"/>
        <v>0</v>
      </c>
      <c r="P49" s="23" t="s">
        <v>158</v>
      </c>
    </row>
    <row r="50" ht="15.75" customHeight="1">
      <c r="A50" s="8" t="s">
        <v>13</v>
      </c>
      <c r="B50" s="8" t="s">
        <v>18</v>
      </c>
      <c r="C50" s="8" t="s">
        <v>12</v>
      </c>
      <c r="D50" s="8" t="s">
        <v>157</v>
      </c>
      <c r="E50" s="8"/>
      <c r="F50" s="8"/>
      <c r="G50" s="19">
        <v>46050.0</v>
      </c>
      <c r="H50" s="19">
        <v>46054.0</v>
      </c>
      <c r="I50" s="21">
        <v>1.0</v>
      </c>
      <c r="J50" s="15">
        <v>0.0</v>
      </c>
      <c r="K50" s="22">
        <v>-7143.28</v>
      </c>
      <c r="L50" s="23"/>
      <c r="M50" s="27">
        <v>0.0</v>
      </c>
      <c r="N50" s="12">
        <f t="shared" si="6"/>
        <v>0</v>
      </c>
      <c r="O50" s="12">
        <f t="shared" si="7"/>
        <v>0</v>
      </c>
      <c r="P50" s="23" t="s">
        <v>158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26.0"/>
    <col customWidth="1" min="3" max="3" width="34.0"/>
    <col customWidth="1" min="4" max="4" width="28.0"/>
    <col customWidth="1" min="5" max="5" width="90.0"/>
    <col customWidth="1" min="6" max="6" width="12.0"/>
    <col customWidth="1" min="7" max="7" width="22.0"/>
    <col customWidth="1" min="8" max="8" width="14.0"/>
    <col customWidth="1" min="9" max="9" width="10.0"/>
    <col customWidth="1" min="10" max="10" width="44.0"/>
    <col customWidth="1" min="11" max="11" width="30.0"/>
    <col customWidth="1" min="12" max="26" width="8.71"/>
  </cols>
  <sheetData>
    <row r="1" ht="42.0" customHeight="1">
      <c r="A1" s="5" t="s">
        <v>168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5" t="s">
        <v>175</v>
      </c>
      <c r="I1" s="5" t="s">
        <v>176</v>
      </c>
      <c r="J1" s="5" t="s">
        <v>177</v>
      </c>
      <c r="K1" s="5" t="s">
        <v>146</v>
      </c>
    </row>
    <row r="2">
      <c r="A2" s="28" t="s">
        <v>178</v>
      </c>
      <c r="B2" s="28" t="s">
        <v>179</v>
      </c>
      <c r="C2" s="28" t="s">
        <v>180</v>
      </c>
      <c r="D2" s="28" t="s">
        <v>181</v>
      </c>
      <c r="E2" s="28" t="s">
        <v>182</v>
      </c>
      <c r="F2" s="28" t="s">
        <v>183</v>
      </c>
      <c r="G2" s="28" t="s">
        <v>184</v>
      </c>
      <c r="H2" s="28" t="s">
        <v>185</v>
      </c>
      <c r="I2" s="28">
        <v>3.0</v>
      </c>
      <c r="J2" s="28" t="s">
        <v>186</v>
      </c>
      <c r="K2" s="28"/>
    </row>
    <row r="3">
      <c r="A3" s="28" t="s">
        <v>187</v>
      </c>
      <c r="B3" s="28" t="s">
        <v>179</v>
      </c>
      <c r="C3" s="28" t="s">
        <v>188</v>
      </c>
      <c r="D3" s="28" t="s">
        <v>181</v>
      </c>
      <c r="E3" s="28" t="s">
        <v>189</v>
      </c>
      <c r="F3" s="28" t="s">
        <v>183</v>
      </c>
      <c r="G3" s="28" t="s">
        <v>184</v>
      </c>
      <c r="H3" s="28" t="s">
        <v>185</v>
      </c>
      <c r="I3" s="28">
        <v>34.0</v>
      </c>
      <c r="J3" s="28" t="s">
        <v>190</v>
      </c>
      <c r="K3" s="28"/>
    </row>
    <row r="4">
      <c r="A4" s="28" t="s">
        <v>191</v>
      </c>
      <c r="B4" s="28" t="s">
        <v>179</v>
      </c>
      <c r="C4" s="28" t="s">
        <v>192</v>
      </c>
      <c r="D4" s="28" t="s">
        <v>181</v>
      </c>
      <c r="E4" s="28" t="s">
        <v>193</v>
      </c>
      <c r="F4" s="28" t="s">
        <v>183</v>
      </c>
      <c r="G4" s="28" t="s">
        <v>184</v>
      </c>
      <c r="H4" s="28" t="s">
        <v>185</v>
      </c>
      <c r="I4" s="28">
        <v>12.0</v>
      </c>
      <c r="J4" s="28" t="s">
        <v>194</v>
      </c>
      <c r="K4" s="28" t="s">
        <v>195</v>
      </c>
    </row>
    <row r="5">
      <c r="A5" s="28" t="s">
        <v>196</v>
      </c>
      <c r="B5" s="28" t="s">
        <v>179</v>
      </c>
      <c r="C5" s="28" t="s">
        <v>197</v>
      </c>
      <c r="D5" s="28" t="s">
        <v>181</v>
      </c>
      <c r="E5" s="28" t="s">
        <v>198</v>
      </c>
      <c r="F5" s="28" t="s">
        <v>183</v>
      </c>
      <c r="G5" s="28" t="s">
        <v>184</v>
      </c>
      <c r="H5" s="28" t="s">
        <v>185</v>
      </c>
      <c r="I5" s="28">
        <v>40.0</v>
      </c>
      <c r="J5" s="28" t="s">
        <v>199</v>
      </c>
      <c r="K5" s="28"/>
    </row>
    <row r="6">
      <c r="A6" s="28" t="s">
        <v>200</v>
      </c>
      <c r="B6" s="28" t="s">
        <v>201</v>
      </c>
      <c r="C6" s="28" t="s">
        <v>202</v>
      </c>
      <c r="D6" s="28" t="s">
        <v>203</v>
      </c>
      <c r="E6" s="28" t="s">
        <v>204</v>
      </c>
      <c r="F6" s="28" t="s">
        <v>183</v>
      </c>
      <c r="G6" s="28" t="s">
        <v>205</v>
      </c>
      <c r="H6" s="28" t="s">
        <v>185</v>
      </c>
      <c r="I6" s="28">
        <v>2.0</v>
      </c>
      <c r="J6" s="28" t="s">
        <v>183</v>
      </c>
      <c r="K6" s="28" t="s">
        <v>206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